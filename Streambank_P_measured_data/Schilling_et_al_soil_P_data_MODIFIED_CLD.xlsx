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lph\Box\Streambank_P\Streambank_P_measured_data\"/>
    </mc:Choice>
  </mc:AlternateContent>
  <xr:revisionPtr revIDLastSave="0" documentId="13_ncr:1_{ABBBD93D-D9C6-4922-B495-707C4C003A3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Sheet1!$A$1:$Z$170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2" i="1"/>
  <c r="N104" i="1" l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O145" i="1" l="1"/>
  <c r="P145" i="1" s="1"/>
  <c r="O138" i="1"/>
  <c r="P138" i="1" s="1"/>
  <c r="O112" i="1"/>
  <c r="P112" i="1" s="1"/>
  <c r="O120" i="1"/>
  <c r="P120" i="1" s="1"/>
  <c r="O144" i="1"/>
  <c r="P144" i="1" s="1"/>
  <c r="O142" i="1"/>
  <c r="P142" i="1" s="1"/>
  <c r="O134" i="1"/>
  <c r="P134" i="1" s="1"/>
  <c r="O107" i="1"/>
  <c r="P107" i="1" s="1"/>
  <c r="O106" i="1"/>
  <c r="P106" i="1" s="1"/>
  <c r="O149" i="1"/>
  <c r="P149" i="1" s="1"/>
  <c r="O117" i="1"/>
  <c r="P117" i="1" s="1"/>
  <c r="O148" i="1"/>
  <c r="P148" i="1" s="1"/>
  <c r="O140" i="1"/>
  <c r="P140" i="1" s="1"/>
  <c r="O147" i="1"/>
  <c r="P147" i="1" s="1"/>
  <c r="O128" i="1"/>
  <c r="P128" i="1" s="1"/>
  <c r="O118" i="1"/>
  <c r="P118" i="1" s="1"/>
  <c r="O110" i="1"/>
  <c r="P110" i="1" s="1"/>
  <c r="O139" i="1"/>
  <c r="P139" i="1" s="1"/>
  <c r="O131" i="1"/>
  <c r="P131" i="1" s="1"/>
  <c r="O124" i="1"/>
  <c r="P124" i="1" s="1"/>
  <c r="O116" i="1"/>
  <c r="P116" i="1" s="1"/>
  <c r="O108" i="1"/>
  <c r="P108" i="1" s="1"/>
  <c r="O137" i="1"/>
  <c r="P137" i="1" s="1"/>
  <c r="O114" i="1"/>
  <c r="P114" i="1" s="1"/>
  <c r="O136" i="1"/>
  <c r="P136" i="1" s="1"/>
  <c r="O121" i="1"/>
  <c r="P121" i="1" s="1"/>
  <c r="O105" i="1"/>
  <c r="P105" i="1" s="1"/>
  <c r="O146" i="1"/>
  <c r="P146" i="1" s="1"/>
  <c r="O104" i="1"/>
  <c r="P104" i="1" s="1"/>
  <c r="O132" i="1"/>
  <c r="P132" i="1" s="1"/>
  <c r="O130" i="1"/>
  <c r="P130" i="1" s="1"/>
  <c r="O129" i="1"/>
  <c r="P129" i="1" s="1"/>
  <c r="O126" i="1"/>
  <c r="P126" i="1" s="1"/>
  <c r="O123" i="1"/>
  <c r="P123" i="1" s="1"/>
  <c r="O122" i="1"/>
  <c r="P122" i="1" s="1"/>
  <c r="O115" i="1"/>
  <c r="P115" i="1" s="1"/>
  <c r="O113" i="1"/>
  <c r="P113" i="1" s="1"/>
  <c r="O141" i="1"/>
  <c r="P141" i="1" s="1"/>
  <c r="O127" i="1"/>
  <c r="P127" i="1" s="1"/>
  <c r="O109" i="1"/>
  <c r="P109" i="1" s="1"/>
  <c r="O133" i="1"/>
  <c r="P133" i="1" s="1"/>
  <c r="O119" i="1"/>
  <c r="P119" i="1" s="1"/>
  <c r="O143" i="1"/>
  <c r="P143" i="1" s="1"/>
  <c r="O125" i="1"/>
  <c r="P125" i="1" s="1"/>
  <c r="O111" i="1"/>
  <c r="P111" i="1" s="1"/>
  <c r="O135" i="1"/>
  <c r="P135" i="1" s="1"/>
  <c r="N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3" i="1"/>
  <c r="K50" i="1" l="1"/>
  <c r="K102" i="1"/>
  <c r="K51" i="1"/>
  <c r="K103" i="1"/>
  <c r="K52" i="1"/>
  <c r="O103" i="1" l="1"/>
  <c r="O51" i="1"/>
  <c r="O50" i="1"/>
  <c r="O102" i="1"/>
  <c r="O52" i="1"/>
  <c r="K78" i="1"/>
  <c r="K79" i="1"/>
  <c r="K28" i="1"/>
  <c r="K80" i="1"/>
  <c r="K29" i="1"/>
  <c r="K81" i="1"/>
  <c r="K30" i="1"/>
  <c r="K82" i="1"/>
  <c r="K31" i="1"/>
  <c r="K83" i="1"/>
  <c r="K32" i="1"/>
  <c r="K84" i="1"/>
  <c r="K33" i="1"/>
  <c r="K85" i="1"/>
  <c r="K34" i="1"/>
  <c r="K86" i="1"/>
  <c r="K35" i="1"/>
  <c r="K87" i="1"/>
  <c r="K36" i="1"/>
  <c r="K88" i="1"/>
  <c r="K37" i="1"/>
  <c r="K89" i="1"/>
  <c r="K38" i="1"/>
  <c r="K90" i="1"/>
  <c r="K39" i="1"/>
  <c r="K91" i="1"/>
  <c r="K40" i="1"/>
  <c r="K92" i="1"/>
  <c r="K41" i="1"/>
  <c r="K93" i="1"/>
  <c r="K42" i="1"/>
  <c r="K94" i="1"/>
  <c r="K43" i="1"/>
  <c r="K95" i="1"/>
  <c r="K44" i="1"/>
  <c r="K96" i="1"/>
  <c r="K45" i="1"/>
  <c r="K97" i="1"/>
  <c r="K46" i="1"/>
  <c r="K98" i="1"/>
  <c r="K47" i="1"/>
  <c r="K99" i="1"/>
  <c r="K48" i="1"/>
  <c r="K100" i="1"/>
  <c r="K49" i="1"/>
  <c r="K101" i="1"/>
  <c r="O78" i="1" l="1"/>
  <c r="O79" i="1"/>
  <c r="O28" i="1"/>
  <c r="O80" i="1"/>
  <c r="O29" i="1"/>
  <c r="O81" i="1"/>
  <c r="O30" i="1"/>
  <c r="O82" i="1"/>
  <c r="O31" i="1"/>
  <c r="O83" i="1"/>
  <c r="O32" i="1"/>
  <c r="O84" i="1"/>
  <c r="O33" i="1"/>
  <c r="O85" i="1"/>
  <c r="O34" i="1"/>
  <c r="O86" i="1"/>
  <c r="O35" i="1"/>
  <c r="O87" i="1"/>
  <c r="O36" i="1"/>
  <c r="O88" i="1"/>
  <c r="O37" i="1"/>
  <c r="O89" i="1"/>
  <c r="O38" i="1"/>
  <c r="O90" i="1"/>
  <c r="O39" i="1"/>
  <c r="O91" i="1"/>
  <c r="O40" i="1"/>
  <c r="O92" i="1"/>
  <c r="O41" i="1"/>
  <c r="O93" i="1"/>
  <c r="O42" i="1"/>
  <c r="O94" i="1"/>
  <c r="O43" i="1"/>
  <c r="O95" i="1"/>
  <c r="O44" i="1"/>
  <c r="O96" i="1"/>
  <c r="O45" i="1"/>
  <c r="O97" i="1"/>
  <c r="O46" i="1"/>
  <c r="O98" i="1"/>
  <c r="O47" i="1"/>
  <c r="O99" i="1"/>
  <c r="O48" i="1"/>
  <c r="O100" i="1"/>
  <c r="O49" i="1"/>
  <c r="O101" i="1"/>
  <c r="K77" i="1" l="1"/>
  <c r="K76" i="1"/>
  <c r="K75" i="1"/>
  <c r="K74" i="1"/>
  <c r="K73" i="1"/>
  <c r="K21" i="1"/>
  <c r="K72" i="1"/>
  <c r="K20" i="1"/>
  <c r="K71" i="1"/>
  <c r="K19" i="1"/>
  <c r="K70" i="1"/>
  <c r="K18" i="1"/>
  <c r="K69" i="1"/>
  <c r="K17" i="1"/>
  <c r="K68" i="1"/>
  <c r="K16" i="1"/>
  <c r="K67" i="1"/>
  <c r="K15" i="1"/>
  <c r="K66" i="1"/>
  <c r="K14" i="1"/>
  <c r="K65" i="1"/>
  <c r="K13" i="1"/>
  <c r="K64" i="1"/>
  <c r="K12" i="1"/>
  <c r="K63" i="1"/>
  <c r="K11" i="1"/>
  <c r="K62" i="1"/>
  <c r="K10" i="1"/>
  <c r="K61" i="1"/>
  <c r="K9" i="1"/>
  <c r="K60" i="1"/>
  <c r="K8" i="1"/>
  <c r="K59" i="1"/>
  <c r="K7" i="1"/>
  <c r="K58" i="1"/>
  <c r="K6" i="1"/>
  <c r="K5" i="1"/>
  <c r="K56" i="1"/>
  <c r="K55" i="1"/>
  <c r="K3" i="1"/>
  <c r="K54" i="1"/>
  <c r="K2" i="1"/>
  <c r="K53" i="1"/>
  <c r="P78" i="1"/>
  <c r="P79" i="1"/>
  <c r="P28" i="1"/>
  <c r="P80" i="1"/>
  <c r="P29" i="1"/>
  <c r="P81" i="1"/>
  <c r="P30" i="1"/>
  <c r="P82" i="1"/>
  <c r="P31" i="1"/>
  <c r="P83" i="1"/>
  <c r="P32" i="1"/>
  <c r="P84" i="1"/>
  <c r="P33" i="1"/>
  <c r="P85" i="1"/>
  <c r="P34" i="1"/>
  <c r="P86" i="1"/>
  <c r="P35" i="1"/>
  <c r="P87" i="1"/>
  <c r="P36" i="1"/>
  <c r="P88" i="1"/>
  <c r="P37" i="1"/>
  <c r="P89" i="1"/>
  <c r="P38" i="1"/>
  <c r="P90" i="1"/>
  <c r="P39" i="1"/>
  <c r="P91" i="1"/>
  <c r="P40" i="1"/>
  <c r="P92" i="1"/>
  <c r="P41" i="1"/>
  <c r="P93" i="1"/>
  <c r="P42" i="1"/>
  <c r="P94" i="1"/>
  <c r="P43" i="1"/>
  <c r="P95" i="1"/>
  <c r="P44" i="1"/>
  <c r="P96" i="1"/>
  <c r="P45" i="1"/>
  <c r="P97" i="1"/>
  <c r="P46" i="1"/>
  <c r="P98" i="1"/>
  <c r="P47" i="1"/>
  <c r="P99" i="1"/>
  <c r="P48" i="1"/>
  <c r="P100" i="1"/>
  <c r="P49" i="1"/>
  <c r="P101" i="1"/>
  <c r="P50" i="1"/>
  <c r="P102" i="1"/>
  <c r="P51" i="1"/>
  <c r="P103" i="1"/>
  <c r="P52" i="1"/>
  <c r="O53" i="1" l="1"/>
  <c r="P53" i="1" s="1"/>
  <c r="O2" i="1"/>
  <c r="P2" i="1" s="1"/>
  <c r="O54" i="1"/>
  <c r="P54" i="1" s="1"/>
  <c r="O3" i="1"/>
  <c r="P3" i="1" l="1"/>
  <c r="O55" i="1"/>
  <c r="P55" i="1" l="1"/>
  <c r="O56" i="1"/>
  <c r="P56" i="1" l="1"/>
  <c r="O5" i="1"/>
  <c r="P5" i="1" l="1"/>
  <c r="O6" i="1"/>
  <c r="P6" i="1" l="1"/>
  <c r="O7" i="1"/>
  <c r="O58" i="1"/>
  <c r="P7" i="1" l="1"/>
  <c r="P58" i="1"/>
  <c r="O59" i="1"/>
  <c r="P59" i="1" l="1"/>
  <c r="O8" i="1"/>
  <c r="P8" i="1" l="1"/>
  <c r="O60" i="1"/>
  <c r="P60" i="1" l="1"/>
  <c r="O9" i="1"/>
  <c r="P9" i="1" l="1"/>
  <c r="O61" i="1"/>
  <c r="P61" i="1" l="1"/>
  <c r="O10" i="1"/>
  <c r="P10" i="1" l="1"/>
  <c r="O62" i="1"/>
  <c r="P62" i="1" l="1"/>
  <c r="O11" i="1"/>
  <c r="P11" i="1" l="1"/>
  <c r="O63" i="1"/>
  <c r="P63" i="1" l="1"/>
  <c r="O12" i="1"/>
  <c r="P12" i="1" l="1"/>
  <c r="O64" i="1"/>
  <c r="P64" i="1" l="1"/>
  <c r="O13" i="1"/>
  <c r="P13" i="1" l="1"/>
  <c r="O65" i="1"/>
  <c r="P65" i="1" l="1"/>
  <c r="O14" i="1"/>
  <c r="P14" i="1" l="1"/>
  <c r="O66" i="1"/>
  <c r="P66" i="1" l="1"/>
  <c r="O15" i="1"/>
  <c r="P15" i="1" l="1"/>
  <c r="O67" i="1"/>
  <c r="P67" i="1" l="1"/>
  <c r="O16" i="1"/>
  <c r="P16" i="1" l="1"/>
  <c r="O68" i="1"/>
  <c r="P68" i="1" l="1"/>
  <c r="O17" i="1"/>
  <c r="P17" i="1" l="1"/>
  <c r="O69" i="1"/>
  <c r="P69" i="1" l="1"/>
  <c r="O18" i="1"/>
  <c r="P18" i="1" l="1"/>
  <c r="O70" i="1" l="1"/>
  <c r="P70" i="1" s="1"/>
  <c r="O19" i="1" l="1"/>
  <c r="P19" i="1" s="1"/>
  <c r="O71" i="1" l="1"/>
  <c r="P71" i="1" s="1"/>
  <c r="O20" i="1" l="1"/>
  <c r="P20" i="1" s="1"/>
  <c r="O72" i="1" l="1"/>
  <c r="P72" i="1" s="1"/>
  <c r="O21" i="1" l="1"/>
  <c r="P21" i="1" s="1"/>
  <c r="O73" i="1" l="1"/>
  <c r="P73" i="1" s="1"/>
  <c r="O74" i="1" l="1"/>
  <c r="P74" i="1" s="1"/>
  <c r="O75" i="1" l="1"/>
  <c r="P75" i="1" s="1"/>
  <c r="O76" i="1" l="1"/>
  <c r="P76" i="1" s="1"/>
  <c r="O77" i="1" l="1"/>
  <c r="P77" i="1" s="1"/>
  <c r="O104857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Streeter, Matthew T</author>
  </authors>
  <commentList>
    <comment ref="H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Streeter, Matthew T:</t>
        </r>
        <r>
          <rPr>
            <sz val="9"/>
            <color indexed="81"/>
            <rFont val="Tahoma"/>
            <family val="2"/>
          </rPr>
          <t xml:space="preserve">
PS - Post Settlement
UD - un-differentiated
G - Gunder
RC - Roberts Creek
</t>
        </r>
      </text>
    </comment>
  </commentList>
</comments>
</file>

<file path=xl/sharedStrings.xml><?xml version="1.0" encoding="utf-8"?>
<sst xmlns="http://schemas.openxmlformats.org/spreadsheetml/2006/main" count="444" uniqueCount="156">
  <si>
    <t>Day 1 1-1</t>
  </si>
  <si>
    <t>Day 1 2-1</t>
  </si>
  <si>
    <t>Day 1 2-2</t>
  </si>
  <si>
    <t>Day 1 2-3</t>
  </si>
  <si>
    <t>Day 1 3-1</t>
  </si>
  <si>
    <t>Day 1 3-2</t>
  </si>
  <si>
    <t>Day 1 4-1</t>
  </si>
  <si>
    <t>Day 1 4-2</t>
  </si>
  <si>
    <t>Day 1 5-1</t>
  </si>
  <si>
    <t>Day 1 5-2</t>
  </si>
  <si>
    <t>Day 1 5-3</t>
  </si>
  <si>
    <t>Day 1 6-1</t>
  </si>
  <si>
    <t>Day 1 7-1</t>
  </si>
  <si>
    <t>Day 1 7-2</t>
  </si>
  <si>
    <t>Day 1 8-1</t>
  </si>
  <si>
    <t>Day 1 8-2</t>
  </si>
  <si>
    <t>Day 1 9-1</t>
  </si>
  <si>
    <t>Day 1 9-2</t>
  </si>
  <si>
    <t>Day 1 10-1</t>
  </si>
  <si>
    <t>Day 1 10-2</t>
  </si>
  <si>
    <t>MLRA</t>
  </si>
  <si>
    <t>Test Day</t>
  </si>
  <si>
    <t>PS</t>
  </si>
  <si>
    <t>UD</t>
  </si>
  <si>
    <t>G</t>
  </si>
  <si>
    <t>108C</t>
  </si>
  <si>
    <t>X</t>
  </si>
  <si>
    <t>Y</t>
  </si>
  <si>
    <t>gross ODW (g)</t>
  </si>
  <si>
    <t>net ODW (g)</t>
  </si>
  <si>
    <t>tube (g)</t>
  </si>
  <si>
    <t>volume (cm^3)</t>
  </si>
  <si>
    <t>stream order</t>
  </si>
  <si>
    <t>unit</t>
  </si>
  <si>
    <t>sample #</t>
  </si>
  <si>
    <t>sample ID</t>
  </si>
  <si>
    <t>BD (g/cm^3)</t>
  </si>
  <si>
    <t>porosity (%)</t>
  </si>
  <si>
    <t>108D</t>
  </si>
  <si>
    <t>107B</t>
  </si>
  <si>
    <t>107A</t>
  </si>
  <si>
    <t>Date sampled</t>
  </si>
  <si>
    <t>RC</t>
  </si>
  <si>
    <t>Lime Creek at Brandon 583922 - 4866893</t>
  </si>
  <si>
    <t>Buffington Creek at Columbus City 634212 - 4562734</t>
  </si>
  <si>
    <t>Lick Creek at Shimek state forest 611408 - 4496080</t>
  </si>
  <si>
    <t>North Cedar Creek at Clayton 644412 - 4758056</t>
  </si>
  <si>
    <t>French Creek at Waukon 629871 - 4804001</t>
  </si>
  <si>
    <t>Willow Creek at Volga 616060 - 4741148</t>
  </si>
  <si>
    <t>Day 2 11-1</t>
  </si>
  <si>
    <t>Day 2 11-2</t>
  </si>
  <si>
    <t>Day 2 11-3</t>
  </si>
  <si>
    <t>Day 2 12-1</t>
  </si>
  <si>
    <t>Day 2 12-2</t>
  </si>
  <si>
    <t>Day 2 13-1</t>
  </si>
  <si>
    <t>Day 2 13-2</t>
  </si>
  <si>
    <t>Day 2 14-1</t>
  </si>
  <si>
    <t>Day 2 14-2</t>
  </si>
  <si>
    <t>Day 2 15-1</t>
  </si>
  <si>
    <t>Day 2 16-1</t>
  </si>
  <si>
    <t>Day 2 16-2</t>
  </si>
  <si>
    <t>Day 2 17-1</t>
  </si>
  <si>
    <t>Day 2 17-2</t>
  </si>
  <si>
    <t>Day 2 18-1</t>
  </si>
  <si>
    <t>Day 2 18-2</t>
  </si>
  <si>
    <t>Day 2 19-1</t>
  </si>
  <si>
    <t>Day 2 19-2</t>
  </si>
  <si>
    <t>Day 2 19-3</t>
  </si>
  <si>
    <t>Day 3 20-1</t>
  </si>
  <si>
    <t>Day 3 20-2</t>
  </si>
  <si>
    <t>Day 3 21-1</t>
  </si>
  <si>
    <t>Day 3 21-2</t>
  </si>
  <si>
    <t>Day 3 22-1</t>
  </si>
  <si>
    <t>Day 3 23-1</t>
  </si>
  <si>
    <t>Day 3 23-2</t>
  </si>
  <si>
    <t>Day 3 23-3</t>
  </si>
  <si>
    <t>Day 3 24-1</t>
  </si>
  <si>
    <t>Day 3 24-2</t>
  </si>
  <si>
    <t>Day 3 25-1</t>
  </si>
  <si>
    <t>Day 3 25-2</t>
  </si>
  <si>
    <t>Day 3 26-1</t>
  </si>
  <si>
    <t>Day 3 26-2</t>
  </si>
  <si>
    <t>Day 3 27-1</t>
  </si>
  <si>
    <t>Day 3 27-2</t>
  </si>
  <si>
    <t>Day 3 28-1</t>
  </si>
  <si>
    <t>Day 3 28-2</t>
  </si>
  <si>
    <t>Day 3 28-3</t>
  </si>
  <si>
    <t>Day 4 29-1</t>
  </si>
  <si>
    <t>Day 4 30-1</t>
  </si>
  <si>
    <t>Day 4 31-1</t>
  </si>
  <si>
    <t>Day 4 31-2</t>
  </si>
  <si>
    <t>Day 4 32-1</t>
  </si>
  <si>
    <t>Day 4 32-2</t>
  </si>
  <si>
    <t>Day 4 33-1</t>
  </si>
  <si>
    <t>Day 4 34-1</t>
  </si>
  <si>
    <t>Day 4 35-1</t>
  </si>
  <si>
    <t>Day 4 36-1</t>
  </si>
  <si>
    <t>Day 4 36-2</t>
  </si>
  <si>
    <t>Day 4 37-1</t>
  </si>
  <si>
    <t>Day 4 38-1</t>
  </si>
  <si>
    <t>Day 6 Site B2</t>
  </si>
  <si>
    <t>Day 6 Site B1</t>
  </si>
  <si>
    <t xml:space="preserve">Day 6 Site J </t>
  </si>
  <si>
    <t>Day 6 Site C2</t>
  </si>
  <si>
    <t>Day 6 Site C1</t>
  </si>
  <si>
    <t>Day 6 Site G</t>
  </si>
  <si>
    <t>Day 6 Site I</t>
  </si>
  <si>
    <t>Day 6 Site H</t>
  </si>
  <si>
    <t>Day 6 Site E</t>
  </si>
  <si>
    <t>Day 5 Site C2</t>
  </si>
  <si>
    <t>Day 7 Site C1</t>
  </si>
  <si>
    <t>Day 8 Site C2</t>
  </si>
  <si>
    <t>Day 5 Site B1</t>
  </si>
  <si>
    <t>Day 5 Site B2</t>
  </si>
  <si>
    <t>Day 5 Site H</t>
  </si>
  <si>
    <t>Day 5 Site D</t>
  </si>
  <si>
    <t>Day 5 Site C1</t>
  </si>
  <si>
    <t>Day 5 Site E</t>
  </si>
  <si>
    <t>Day 7 Site E</t>
  </si>
  <si>
    <t>Day 8 Site E</t>
  </si>
  <si>
    <t>Day 5 Site A</t>
  </si>
  <si>
    <t>Day 7 Site B2</t>
  </si>
  <si>
    <t>Day 8 Site B2</t>
  </si>
  <si>
    <t>Day 8 Site C1</t>
  </si>
  <si>
    <t>Day 7 Site D</t>
  </si>
  <si>
    <t>Day 7 Site G</t>
  </si>
  <si>
    <t>Day 7 Site B1</t>
  </si>
  <si>
    <t>Day 7 Site F</t>
  </si>
  <si>
    <t>Day 7 Site C2/Unknown</t>
  </si>
  <si>
    <t>Day 7 Site I</t>
  </si>
  <si>
    <t>Day 7 Site H</t>
  </si>
  <si>
    <t>Day 8 Site G</t>
  </si>
  <si>
    <t>Day 8 Site D</t>
  </si>
  <si>
    <t>Day 8 Site I</t>
  </si>
  <si>
    <t>Day 8 Site F</t>
  </si>
  <si>
    <t>Day 8 Site J</t>
  </si>
  <si>
    <t>Day 8 Site H</t>
  </si>
  <si>
    <t>Dibble Creek at Clermont 608371 - 4764766</t>
  </si>
  <si>
    <t>Duttons Creek at West Union 600659 - 4761677</t>
  </si>
  <si>
    <t>East Otter at Alburnett 609953 - 4667898</t>
  </si>
  <si>
    <t xml:space="preserve">English River at Wellman 596057 - 4595287 </t>
  </si>
  <si>
    <t>Silver Creek at Monona 626834 - 4259180</t>
  </si>
  <si>
    <t>Paint Creek at Yellow River State Forest 644698 - 4781450</t>
  </si>
  <si>
    <t>Canoe Creek at Decorah 611859 - 4802320</t>
  </si>
  <si>
    <t>P (mg/kg)</t>
  </si>
  <si>
    <t>P std. dev.</t>
  </si>
  <si>
    <t>P - M3</t>
  </si>
  <si>
    <t>Al - M3</t>
  </si>
  <si>
    <t>Fe - M3</t>
  </si>
  <si>
    <t>Ca - M3</t>
  </si>
  <si>
    <t>sand%</t>
  </si>
  <si>
    <t>silt%</t>
  </si>
  <si>
    <t>clay%</t>
  </si>
  <si>
    <t>si+cl</t>
  </si>
  <si>
    <t>Site</t>
  </si>
  <si>
    <t>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</si>
</sst>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2" fontId="0" fillId="2" borderId="0" xfId="0" applyNumberFormat="1" applyFill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76"/>
  <sheetViews>
    <sheetView tabSelected="1" zoomScale="90" zoomScaleNormal="90" workbookViewId="0">
      <pane ySplit="1" topLeftCell="A2" activePane="bottomLeft" state="frozen"/>
      <selection pane="bottomLeft" activeCell="E2" sqref="E2"/>
    </sheetView>
  </sheetViews>
  <sheetFormatPr defaultColWidth="9.15625" defaultRowHeight="14.4" x14ac:dyDescent="0.55000000000000004"/>
  <cols>
    <col min="1" max="1" width="15.15625" style="2" customWidth="1"/>
    <col min="2" max="2" width="10.41796875" style="2" bestFit="1" customWidth="1"/>
    <col min="3" max="3" width="52.83984375" style="2" bestFit="1" customWidth="1"/>
    <col min="4" max="4" width="15.41796875" style="2" customWidth="1"/>
    <col min="5" max="5" width="6.26171875" style="4" bestFit="1" customWidth="1"/>
    <col min="6" max="6" width="11.68359375" style="7" customWidth="1"/>
    <col min="7" max="7" width="11.15625" style="7" bestFit="1" customWidth="1"/>
    <col min="8" max="8" width="4.578125" style="2" bestFit="1" customWidth="1"/>
    <col min="9" max="9" width="7.26171875" style="2" bestFit="1" customWidth="1"/>
    <col min="10" max="10" width="6.15625" style="2" bestFit="1" customWidth="1"/>
    <col min="11" max="11" width="7.68359375" style="3" bestFit="1" customWidth="1"/>
    <col min="12" max="12" width="6" style="3" bestFit="1" customWidth="1"/>
    <col min="13" max="13" width="10.68359375" style="3" customWidth="1"/>
    <col min="14" max="14" width="9.15625" style="3" bestFit="1" customWidth="1"/>
    <col min="15" max="15" width="8.83984375" style="3" bestFit="1" customWidth="1"/>
    <col min="16" max="16" width="8.26171875" style="3" bestFit="1" customWidth="1"/>
    <col min="17" max="17" width="6.68359375" bestFit="1" customWidth="1"/>
    <col min="18" max="18" width="5.26171875" bestFit="1" customWidth="1"/>
    <col min="19" max="19" width="6" bestFit="1" customWidth="1"/>
    <col min="20" max="20" width="6" customWidth="1"/>
    <col min="21" max="22" width="8.26171875" style="3" customWidth="1"/>
    <col min="23" max="23" width="6.68359375" style="2" bestFit="1" customWidth="1"/>
    <col min="24" max="24" width="7.26171875" style="2" bestFit="1" customWidth="1"/>
    <col min="25" max="26" width="7.578125" style="2" bestFit="1" customWidth="1"/>
    <col min="27" max="16384" width="9.15625" style="2"/>
  </cols>
  <sheetData>
    <row r="1" spans="1:26" s="1" customFormat="1" ht="28.8" x14ac:dyDescent="0.55000000000000004">
      <c r="A1" s="1" t="s">
        <v>34</v>
      </c>
      <c r="B1" s="1" t="s">
        <v>41</v>
      </c>
      <c r="C1" s="1" t="s">
        <v>35</v>
      </c>
      <c r="D1" s="1" t="s">
        <v>154</v>
      </c>
      <c r="E1" s="6" t="s">
        <v>155</v>
      </c>
      <c r="F1" s="8" t="s">
        <v>26</v>
      </c>
      <c r="G1" s="8" t="s">
        <v>27</v>
      </c>
      <c r="H1" s="1" t="s">
        <v>33</v>
      </c>
      <c r="I1" s="1" t="s">
        <v>32</v>
      </c>
      <c r="J1" s="1" t="s">
        <v>20</v>
      </c>
      <c r="K1" s="5" t="s">
        <v>31</v>
      </c>
      <c r="L1" s="5" t="s">
        <v>30</v>
      </c>
      <c r="M1" s="5" t="s">
        <v>28</v>
      </c>
      <c r="N1" s="5" t="s">
        <v>29</v>
      </c>
      <c r="O1" s="5" t="s">
        <v>36</v>
      </c>
      <c r="P1" s="5" t="s">
        <v>37</v>
      </c>
      <c r="Q1" s="14" t="s">
        <v>150</v>
      </c>
      <c r="R1" s="14" t="s">
        <v>151</v>
      </c>
      <c r="S1" s="14" t="s">
        <v>152</v>
      </c>
      <c r="T1" s="14" t="s">
        <v>153</v>
      </c>
      <c r="U1" s="5" t="s">
        <v>144</v>
      </c>
      <c r="V1" s="5" t="s">
        <v>145</v>
      </c>
      <c r="W1" s="11" t="s">
        <v>146</v>
      </c>
      <c r="X1" s="11" t="s">
        <v>147</v>
      </c>
      <c r="Y1" s="11" t="s">
        <v>148</v>
      </c>
      <c r="Z1" s="11" t="s">
        <v>149</v>
      </c>
    </row>
    <row r="2" spans="1:26" x14ac:dyDescent="0.55000000000000004">
      <c r="A2" s="2">
        <v>1</v>
      </c>
      <c r="C2" s="2" t="s">
        <v>0</v>
      </c>
      <c r="D2" s="2">
        <v>1</v>
      </c>
      <c r="E2" s="2">
        <v>1</v>
      </c>
      <c r="F2" s="7">
        <v>-91.417385999999993</v>
      </c>
      <c r="G2" s="7">
        <v>41.718978</v>
      </c>
      <c r="H2" s="2" t="s">
        <v>22</v>
      </c>
      <c r="I2" s="2">
        <v>3</v>
      </c>
      <c r="J2" s="2" t="s">
        <v>25</v>
      </c>
      <c r="K2" s="3">
        <f t="shared" ref="K2:K33" si="0">3.14159*(2.54^2)*5.08</f>
        <v>102.96287278352</v>
      </c>
      <c r="L2" s="3">
        <v>94.614666666666665</v>
      </c>
      <c r="M2" s="3">
        <v>205.18</v>
      </c>
      <c r="N2" s="3">
        <f>M2-L2</f>
        <v>110.56533333333334</v>
      </c>
      <c r="O2" s="3">
        <f t="shared" ref="O2:O33" si="1">N2/K2</f>
        <v>1.0738369117361124</v>
      </c>
      <c r="P2" s="3">
        <f t="shared" ref="P2:P33" si="2">1-(O2/2.65)</f>
        <v>0.5947785238731651</v>
      </c>
      <c r="Q2" s="15">
        <v>33</v>
      </c>
      <c r="R2" s="15">
        <v>36</v>
      </c>
      <c r="S2" s="15">
        <v>31</v>
      </c>
      <c r="T2" s="15">
        <f>R2+S2</f>
        <v>67</v>
      </c>
      <c r="U2" s="3">
        <v>400.30060120240478</v>
      </c>
      <c r="V2" s="3">
        <v>13.461952748040515</v>
      </c>
      <c r="W2" s="12">
        <v>49.03</v>
      </c>
      <c r="X2" s="13">
        <v>458.5</v>
      </c>
      <c r="Y2" s="13">
        <v>174.1</v>
      </c>
      <c r="Z2" s="13">
        <v>4798</v>
      </c>
    </row>
    <row r="3" spans="1:26" x14ac:dyDescent="0.55000000000000004">
      <c r="A3" s="2">
        <v>2</v>
      </c>
      <c r="C3" s="2" t="s">
        <v>1</v>
      </c>
      <c r="D3" s="2">
        <v>2</v>
      </c>
      <c r="E3" s="2">
        <v>1</v>
      </c>
      <c r="F3" s="7">
        <v>-91.246285</v>
      </c>
      <c r="G3" s="7">
        <v>41.732640000000004</v>
      </c>
      <c r="H3" s="2" t="s">
        <v>22</v>
      </c>
      <c r="I3" s="2">
        <v>7</v>
      </c>
      <c r="J3" s="2" t="s">
        <v>25</v>
      </c>
      <c r="K3" s="3">
        <f t="shared" si="0"/>
        <v>102.96287278352</v>
      </c>
      <c r="L3" s="3">
        <v>94.614666666666665</v>
      </c>
      <c r="M3" s="3">
        <v>198.24</v>
      </c>
      <c r="N3" s="3">
        <f>M3-L3</f>
        <v>103.62533333333334</v>
      </c>
      <c r="O3" s="3">
        <f t="shared" si="1"/>
        <v>1.006433975003846</v>
      </c>
      <c r="P3" s="3">
        <f t="shared" si="2"/>
        <v>0.62021359433817125</v>
      </c>
      <c r="Q3" s="15">
        <v>34.966408674812385</v>
      </c>
      <c r="R3" s="15">
        <v>38.499886064511074</v>
      </c>
      <c r="S3" s="15">
        <v>26.533705260676545</v>
      </c>
      <c r="T3" s="15">
        <f t="shared" ref="T3:T66" si="3">R3+S3</f>
        <v>65.033591325187615</v>
      </c>
      <c r="U3" s="3">
        <v>493.98797595190382</v>
      </c>
      <c r="V3" s="3">
        <v>2.8340953153769379</v>
      </c>
      <c r="W3" s="12">
        <v>67.12</v>
      </c>
      <c r="X3" s="13">
        <v>37.69</v>
      </c>
      <c r="Y3" s="13">
        <v>356.2</v>
      </c>
      <c r="Z3" s="13">
        <v>6285</v>
      </c>
    </row>
    <row r="4" spans="1:26" x14ac:dyDescent="0.55000000000000004">
      <c r="A4" s="2">
        <v>3</v>
      </c>
      <c r="C4" s="2" t="s">
        <v>2</v>
      </c>
      <c r="D4" s="2">
        <v>2</v>
      </c>
      <c r="E4" s="2">
        <v>2</v>
      </c>
      <c r="F4" s="7">
        <v>-91.246285</v>
      </c>
      <c r="G4" s="7">
        <v>41.732640000000004</v>
      </c>
      <c r="H4" s="2" t="s">
        <v>23</v>
      </c>
      <c r="I4" s="2">
        <v>7</v>
      </c>
      <c r="J4" s="2" t="s">
        <v>25</v>
      </c>
      <c r="Q4" s="15">
        <v>14</v>
      </c>
      <c r="R4" s="15">
        <v>37</v>
      </c>
      <c r="S4" s="15">
        <v>49</v>
      </c>
      <c r="T4" s="15">
        <f t="shared" si="3"/>
        <v>86</v>
      </c>
      <c r="U4" s="3">
        <v>326.6533066132265</v>
      </c>
      <c r="V4" s="3">
        <v>1.417047657688469</v>
      </c>
      <c r="W4" s="12">
        <v>31.06</v>
      </c>
      <c r="X4" s="13">
        <v>103</v>
      </c>
      <c r="Y4" s="13">
        <v>147.5</v>
      </c>
      <c r="Z4" s="13">
        <v>3972</v>
      </c>
    </row>
    <row r="5" spans="1:26" x14ac:dyDescent="0.55000000000000004">
      <c r="A5" s="2">
        <v>4</v>
      </c>
      <c r="C5" s="2" t="s">
        <v>3</v>
      </c>
      <c r="D5" s="2">
        <v>2</v>
      </c>
      <c r="E5" s="2">
        <v>3</v>
      </c>
      <c r="F5" s="7">
        <v>-91.246285</v>
      </c>
      <c r="G5" s="7">
        <v>41.732640000000004</v>
      </c>
      <c r="H5" s="2" t="s">
        <v>23</v>
      </c>
      <c r="I5" s="2">
        <v>7</v>
      </c>
      <c r="J5" s="2" t="s">
        <v>25</v>
      </c>
      <c r="K5" s="3">
        <f t="shared" si="0"/>
        <v>102.96287278352</v>
      </c>
      <c r="L5" s="3">
        <v>94.614666666666665</v>
      </c>
      <c r="M5" s="3">
        <v>211.32</v>
      </c>
      <c r="N5" s="3">
        <f t="shared" ref="N5:N21" si="4">M5-L5</f>
        <v>116.70533333333333</v>
      </c>
      <c r="O5" s="3">
        <f t="shared" si="1"/>
        <v>1.133470057490596</v>
      </c>
      <c r="P5" s="3">
        <f t="shared" si="2"/>
        <v>0.57227545000354862</v>
      </c>
      <c r="Q5" s="15">
        <v>12.775003900764537</v>
      </c>
      <c r="R5" s="15">
        <v>36.28559837728195</v>
      </c>
      <c r="S5" s="15">
        <v>50.939397721953505</v>
      </c>
      <c r="T5" s="15">
        <f t="shared" si="3"/>
        <v>87.224996099235454</v>
      </c>
      <c r="U5" s="3">
        <v>665.33066132264526</v>
      </c>
      <c r="V5" s="3">
        <v>34.009143784523339</v>
      </c>
      <c r="W5" s="12">
        <v>65.040000000000006</v>
      </c>
      <c r="X5" s="13">
        <v>189.9</v>
      </c>
      <c r="Y5" s="13">
        <v>461.7</v>
      </c>
      <c r="Z5" s="13">
        <v>5325</v>
      </c>
    </row>
    <row r="6" spans="1:26" x14ac:dyDescent="0.55000000000000004">
      <c r="A6" s="2">
        <v>5</v>
      </c>
      <c r="C6" s="2" t="s">
        <v>4</v>
      </c>
      <c r="D6" s="2">
        <v>3</v>
      </c>
      <c r="E6" s="2">
        <v>1</v>
      </c>
      <c r="F6" s="7">
        <v>-91.412525000000002</v>
      </c>
      <c r="G6" s="7">
        <v>41.316040000000001</v>
      </c>
      <c r="H6" s="2" t="s">
        <v>22</v>
      </c>
      <c r="I6" s="2">
        <v>4</v>
      </c>
      <c r="J6" s="2" t="s">
        <v>25</v>
      </c>
      <c r="K6" s="3">
        <f t="shared" si="0"/>
        <v>102.96287278352</v>
      </c>
      <c r="L6" s="3">
        <v>94.614666666666665</v>
      </c>
      <c r="M6" s="3">
        <v>207.92</v>
      </c>
      <c r="N6" s="3">
        <f t="shared" si="4"/>
        <v>113.30533333333332</v>
      </c>
      <c r="O6" s="3">
        <f t="shared" si="1"/>
        <v>1.1004484458350186</v>
      </c>
      <c r="P6" s="3">
        <f t="shared" si="2"/>
        <v>0.58473643553395527</v>
      </c>
      <c r="Q6" s="15">
        <v>12.816221127636171</v>
      </c>
      <c r="R6" s="15">
        <v>36.268452010903353</v>
      </c>
      <c r="S6" s="15">
        <v>50.915326861460471</v>
      </c>
      <c r="T6" s="15">
        <f t="shared" si="3"/>
        <v>87.183778872363831</v>
      </c>
      <c r="U6" s="3">
        <v>427.35470941883767</v>
      </c>
      <c r="V6" s="3">
        <v>14.879000405728984</v>
      </c>
      <c r="W6" s="12">
        <v>80.650000000000006</v>
      </c>
      <c r="X6" s="13">
        <v>440</v>
      </c>
      <c r="Y6" s="13">
        <v>436.6</v>
      </c>
      <c r="Z6" s="13">
        <v>2720</v>
      </c>
    </row>
    <row r="7" spans="1:26" x14ac:dyDescent="0.55000000000000004">
      <c r="A7" s="2">
        <v>6</v>
      </c>
      <c r="C7" s="2" t="s">
        <v>5</v>
      </c>
      <c r="D7" s="2">
        <v>3</v>
      </c>
      <c r="E7" s="2">
        <v>2</v>
      </c>
      <c r="F7" s="7">
        <v>-91.412525000000002</v>
      </c>
      <c r="G7" s="7">
        <v>41.316040000000001</v>
      </c>
      <c r="H7" s="2" t="s">
        <v>23</v>
      </c>
      <c r="I7" s="2">
        <v>4</v>
      </c>
      <c r="J7" s="2" t="s">
        <v>25</v>
      </c>
      <c r="K7" s="3">
        <f t="shared" si="0"/>
        <v>102.96287278352</v>
      </c>
      <c r="L7" s="3">
        <v>94.614666666666665</v>
      </c>
      <c r="M7" s="3">
        <v>218.13</v>
      </c>
      <c r="N7" s="3">
        <f t="shared" si="4"/>
        <v>123.51533333333333</v>
      </c>
      <c r="O7" s="3">
        <f t="shared" si="1"/>
        <v>1.1996104031889727</v>
      </c>
      <c r="P7" s="3">
        <f t="shared" si="2"/>
        <v>0.54731682898529332</v>
      </c>
      <c r="Q7" s="15">
        <v>43.91240990131935</v>
      </c>
      <c r="R7" s="15">
        <v>23.556787841445871</v>
      </c>
      <c r="S7" s="15">
        <v>32.530802257234782</v>
      </c>
      <c r="T7" s="15">
        <f t="shared" si="3"/>
        <v>56.08759009868065</v>
      </c>
      <c r="U7" s="3">
        <v>384.7695390781563</v>
      </c>
      <c r="V7" s="3">
        <v>0</v>
      </c>
      <c r="W7" s="12">
        <v>72.349999999999994</v>
      </c>
      <c r="X7" s="13">
        <v>322.2</v>
      </c>
      <c r="Y7" s="13">
        <v>461.7</v>
      </c>
      <c r="Z7" s="13">
        <v>2529</v>
      </c>
    </row>
    <row r="8" spans="1:26" x14ac:dyDescent="0.55000000000000004">
      <c r="A8" s="2">
        <v>7</v>
      </c>
      <c r="C8" s="2" t="s">
        <v>6</v>
      </c>
      <c r="D8" s="2">
        <v>4</v>
      </c>
      <c r="E8" s="2">
        <v>1</v>
      </c>
      <c r="F8" s="7">
        <v>-92.205304999999996</v>
      </c>
      <c r="G8" s="7">
        <v>41.374307999999999</v>
      </c>
      <c r="H8" s="2" t="s">
        <v>22</v>
      </c>
      <c r="I8" s="2">
        <v>4</v>
      </c>
      <c r="J8" s="2" t="s">
        <v>25</v>
      </c>
      <c r="K8" s="3">
        <f t="shared" si="0"/>
        <v>102.96287278352</v>
      </c>
      <c r="L8" s="3">
        <v>94.614666666666665</v>
      </c>
      <c r="M8" s="3">
        <v>212.15</v>
      </c>
      <c r="N8" s="3">
        <f t="shared" si="4"/>
        <v>117.53533333333334</v>
      </c>
      <c r="O8" s="3">
        <f t="shared" si="1"/>
        <v>1.1415312156300459</v>
      </c>
      <c r="P8" s="3">
        <f t="shared" si="2"/>
        <v>0.5692335035358318</v>
      </c>
      <c r="Q8" s="15">
        <v>24.442467320421194</v>
      </c>
      <c r="R8" s="15">
        <v>37.174306078352771</v>
      </c>
      <c r="S8" s="15">
        <v>38.383226601226035</v>
      </c>
      <c r="T8" s="15">
        <f t="shared" si="3"/>
        <v>75.557532679578799</v>
      </c>
      <c r="U8" s="3">
        <v>522.54509018036072</v>
      </c>
      <c r="V8" s="3">
        <v>57.390430136383173</v>
      </c>
      <c r="W8" s="12">
        <v>86.56</v>
      </c>
      <c r="X8" s="13">
        <v>362.9</v>
      </c>
      <c r="Y8" s="13">
        <v>376.8</v>
      </c>
      <c r="Z8" s="13">
        <v>3316</v>
      </c>
    </row>
    <row r="9" spans="1:26" x14ac:dyDescent="0.55000000000000004">
      <c r="A9" s="2">
        <v>8</v>
      </c>
      <c r="C9" s="2" t="s">
        <v>7</v>
      </c>
      <c r="D9" s="2">
        <v>4</v>
      </c>
      <c r="E9" s="2">
        <v>2</v>
      </c>
      <c r="F9" s="7">
        <v>-92.205304999999996</v>
      </c>
      <c r="G9" s="7">
        <v>41.374307999999999</v>
      </c>
      <c r="H9" s="2" t="s">
        <v>24</v>
      </c>
      <c r="I9" s="2">
        <v>4</v>
      </c>
      <c r="J9" s="2" t="s">
        <v>25</v>
      </c>
      <c r="K9" s="3">
        <f t="shared" si="0"/>
        <v>102.96287278352</v>
      </c>
      <c r="L9" s="3">
        <v>94.614666666666665</v>
      </c>
      <c r="M9" s="3">
        <v>217.92</v>
      </c>
      <c r="N9" s="3">
        <f t="shared" si="4"/>
        <v>123.30533333333332</v>
      </c>
      <c r="O9" s="3">
        <f t="shared" si="1"/>
        <v>1.1975708330573047</v>
      </c>
      <c r="P9" s="3">
        <f t="shared" si="2"/>
        <v>0.54808647809158306</v>
      </c>
      <c r="Q9" s="15">
        <v>17.083189373872294</v>
      </c>
      <c r="R9" s="15">
        <v>65.172613152136378</v>
      </c>
      <c r="S9" s="15">
        <v>17.744197473991328</v>
      </c>
      <c r="T9" s="15">
        <f t="shared" si="3"/>
        <v>82.916810626127699</v>
      </c>
      <c r="U9" s="3">
        <v>456.91382765531063</v>
      </c>
      <c r="V9" s="3">
        <v>2.8340953153769379</v>
      </c>
      <c r="W9" s="12">
        <v>62.76</v>
      </c>
      <c r="X9" s="13">
        <v>524.5</v>
      </c>
      <c r="Y9" s="13">
        <v>515.6</v>
      </c>
      <c r="Z9" s="13">
        <v>2833</v>
      </c>
    </row>
    <row r="10" spans="1:26" x14ac:dyDescent="0.55000000000000004">
      <c r="A10" s="2">
        <v>9</v>
      </c>
      <c r="C10" s="2" t="s">
        <v>8</v>
      </c>
      <c r="D10" s="2">
        <v>5</v>
      </c>
      <c r="E10" s="2">
        <v>1</v>
      </c>
      <c r="F10" s="7">
        <v>-92.555046000000004</v>
      </c>
      <c r="G10" s="7">
        <v>41.284731000000001</v>
      </c>
      <c r="H10" s="2" t="s">
        <v>22</v>
      </c>
      <c r="I10" s="2">
        <v>1</v>
      </c>
      <c r="J10" s="2" t="s">
        <v>25</v>
      </c>
      <c r="K10" s="3">
        <f t="shared" si="0"/>
        <v>102.96287278352</v>
      </c>
      <c r="L10" s="3">
        <v>94.614666666666665</v>
      </c>
      <c r="M10" s="3">
        <v>196.47</v>
      </c>
      <c r="N10" s="3">
        <f t="shared" si="4"/>
        <v>101.85533333333333</v>
      </c>
      <c r="O10" s="3">
        <f t="shared" si="1"/>
        <v>0.98924331246550135</v>
      </c>
      <c r="P10" s="3">
        <f t="shared" si="2"/>
        <v>0.62670063680547117</v>
      </c>
      <c r="Q10" s="15">
        <v>22.209883398112162</v>
      </c>
      <c r="R10" s="15">
        <v>63.165574680732931</v>
      </c>
      <c r="S10" s="15">
        <v>14.624541921154913</v>
      </c>
      <c r="T10" s="15">
        <f t="shared" si="3"/>
        <v>77.790116601887846</v>
      </c>
      <c r="U10" s="3">
        <v>387.27454909819642</v>
      </c>
      <c r="V10" s="3">
        <v>37.55176292874453</v>
      </c>
      <c r="W10" s="12">
        <v>41.37</v>
      </c>
      <c r="X10" s="13">
        <v>79.180000000000007</v>
      </c>
      <c r="Y10" s="13">
        <v>127.5</v>
      </c>
      <c r="Z10" s="13">
        <v>6084</v>
      </c>
    </row>
    <row r="11" spans="1:26" x14ac:dyDescent="0.55000000000000004">
      <c r="A11" s="2">
        <v>10</v>
      </c>
      <c r="C11" s="2" t="s">
        <v>9</v>
      </c>
      <c r="D11" s="2">
        <v>5</v>
      </c>
      <c r="E11" s="2">
        <v>2</v>
      </c>
      <c r="F11" s="7">
        <v>-92.555046000000004</v>
      </c>
      <c r="G11" s="7">
        <v>41.284731000000001</v>
      </c>
      <c r="H11" s="2" t="s">
        <v>23</v>
      </c>
      <c r="I11" s="2">
        <v>1</v>
      </c>
      <c r="J11" s="2" t="s">
        <v>25</v>
      </c>
      <c r="K11" s="3">
        <f t="shared" si="0"/>
        <v>102.96287278352</v>
      </c>
      <c r="L11" s="3">
        <v>94.614666666666665</v>
      </c>
      <c r="M11" s="3">
        <v>225.9</v>
      </c>
      <c r="N11" s="3">
        <f t="shared" si="4"/>
        <v>131.28533333333334</v>
      </c>
      <c r="O11" s="3">
        <f t="shared" si="1"/>
        <v>1.275074498060689</v>
      </c>
      <c r="P11" s="3">
        <f t="shared" si="2"/>
        <v>0.51883981205257013</v>
      </c>
      <c r="Q11" s="15">
        <v>22.077427295905885</v>
      </c>
      <c r="R11" s="15">
        <v>41.298963533169882</v>
      </c>
      <c r="S11" s="15">
        <v>36.623609170924233</v>
      </c>
      <c r="T11" s="15">
        <f t="shared" si="3"/>
        <v>77.922572704094108</v>
      </c>
      <c r="U11" s="3">
        <v>230.96192384769535</v>
      </c>
      <c r="V11" s="3">
        <v>36.134715271056209</v>
      </c>
      <c r="W11" s="12">
        <v>14.51</v>
      </c>
      <c r="X11" s="13">
        <v>313.89999999999998</v>
      </c>
      <c r="Y11" s="13">
        <v>235.7</v>
      </c>
      <c r="Z11" s="13">
        <v>2734</v>
      </c>
    </row>
    <row r="12" spans="1:26" x14ac:dyDescent="0.55000000000000004">
      <c r="A12" s="2">
        <v>11</v>
      </c>
      <c r="C12" s="2" t="s">
        <v>10</v>
      </c>
      <c r="D12" s="2">
        <v>5</v>
      </c>
      <c r="E12" s="4">
        <v>3</v>
      </c>
      <c r="F12" s="7">
        <v>-92.555046000000004</v>
      </c>
      <c r="G12" s="7">
        <v>41.284731000000001</v>
      </c>
      <c r="H12" s="2" t="s">
        <v>24</v>
      </c>
      <c r="I12" s="2">
        <v>1</v>
      </c>
      <c r="J12" s="2" t="s">
        <v>25</v>
      </c>
      <c r="K12" s="3">
        <f t="shared" si="0"/>
        <v>102.96287278352</v>
      </c>
      <c r="L12" s="3">
        <v>94.614666666666665</v>
      </c>
      <c r="M12" s="3">
        <v>234.94</v>
      </c>
      <c r="N12" s="3">
        <f t="shared" si="4"/>
        <v>140.32533333333333</v>
      </c>
      <c r="O12" s="3">
        <f t="shared" si="1"/>
        <v>1.3628731361096356</v>
      </c>
      <c r="P12" s="3">
        <f t="shared" si="2"/>
        <v>0.48570825052466582</v>
      </c>
      <c r="Q12" s="15">
        <v>52.438384897745138</v>
      </c>
      <c r="R12" s="15">
        <v>17.50267435762979</v>
      </c>
      <c r="S12" s="15">
        <v>30.05894074462508</v>
      </c>
      <c r="T12" s="15">
        <f t="shared" si="3"/>
        <v>47.561615102254869</v>
      </c>
      <c r="U12" s="3">
        <v>216.93386773547095</v>
      </c>
      <c r="V12" s="3">
        <v>4.9596668019096617</v>
      </c>
      <c r="W12" s="12">
        <v>20.78</v>
      </c>
      <c r="X12" s="13">
        <v>215</v>
      </c>
      <c r="Y12" s="13">
        <v>277.60000000000002</v>
      </c>
      <c r="Z12" s="13">
        <v>2456</v>
      </c>
    </row>
    <row r="13" spans="1:26" x14ac:dyDescent="0.55000000000000004">
      <c r="A13" s="2">
        <v>12</v>
      </c>
      <c r="C13" s="2" t="s">
        <v>11</v>
      </c>
      <c r="D13" s="2">
        <v>6</v>
      </c>
      <c r="E13" s="2">
        <v>1</v>
      </c>
      <c r="F13" s="7">
        <v>-92.651568999999995</v>
      </c>
      <c r="G13" s="7">
        <v>41.508780999999999</v>
      </c>
      <c r="H13" s="2" t="s">
        <v>22</v>
      </c>
      <c r="I13" s="2">
        <v>6</v>
      </c>
      <c r="J13" s="2" t="s">
        <v>25</v>
      </c>
      <c r="K13" s="3">
        <f t="shared" si="0"/>
        <v>102.96287278352</v>
      </c>
      <c r="L13" s="3">
        <v>94.614666666666665</v>
      </c>
      <c r="M13" s="3">
        <v>216.31</v>
      </c>
      <c r="N13" s="3">
        <f t="shared" si="4"/>
        <v>121.69533333333334</v>
      </c>
      <c r="O13" s="3">
        <f t="shared" si="1"/>
        <v>1.1819341287145166</v>
      </c>
      <c r="P13" s="3">
        <f t="shared" si="2"/>
        <v>0.55398712123980509</v>
      </c>
      <c r="Q13" s="15">
        <v>24.038933260071815</v>
      </c>
      <c r="R13" s="15">
        <v>59.781359524323484</v>
      </c>
      <c r="S13" s="15">
        <v>16.179707215604701</v>
      </c>
      <c r="T13" s="15">
        <f t="shared" si="3"/>
        <v>75.961066739928185</v>
      </c>
      <c r="U13" s="3">
        <v>490.9819639278557</v>
      </c>
      <c r="V13" s="3">
        <v>21.255714865327075</v>
      </c>
      <c r="W13" s="12">
        <v>93.29</v>
      </c>
      <c r="X13" s="13">
        <v>357.4</v>
      </c>
      <c r="Y13" s="13">
        <v>459.6</v>
      </c>
      <c r="Z13" s="13">
        <v>2758</v>
      </c>
    </row>
    <row r="14" spans="1:26" x14ac:dyDescent="0.55000000000000004">
      <c r="A14" s="2">
        <v>13</v>
      </c>
      <c r="C14" s="2" t="s">
        <v>12</v>
      </c>
      <c r="D14" s="2">
        <v>7</v>
      </c>
      <c r="E14" s="2">
        <v>1</v>
      </c>
      <c r="F14" s="7">
        <v>-92.858537999999996</v>
      </c>
      <c r="G14" s="7">
        <v>41.688124999999999</v>
      </c>
      <c r="H14" s="2" t="s">
        <v>22</v>
      </c>
      <c r="I14" s="2">
        <v>5</v>
      </c>
      <c r="J14" s="2" t="s">
        <v>25</v>
      </c>
      <c r="K14" s="3">
        <f t="shared" si="0"/>
        <v>102.96287278352</v>
      </c>
      <c r="L14" s="3">
        <v>94.614666666666665</v>
      </c>
      <c r="M14" s="3">
        <v>221.62</v>
      </c>
      <c r="N14" s="3">
        <f t="shared" si="4"/>
        <v>127.00533333333334</v>
      </c>
      <c r="O14" s="3">
        <f t="shared" si="1"/>
        <v>1.2335061163295507</v>
      </c>
      <c r="P14" s="3">
        <f t="shared" si="2"/>
        <v>0.53452599383790544</v>
      </c>
      <c r="Q14" s="15">
        <v>37.210301686671698</v>
      </c>
      <c r="R14" s="15">
        <v>48.096908908009475</v>
      </c>
      <c r="S14" s="15">
        <v>14.692789405318821</v>
      </c>
      <c r="T14" s="15">
        <f t="shared" si="3"/>
        <v>62.789698313328294</v>
      </c>
      <c r="U14" s="3">
        <v>418.83767535070143</v>
      </c>
      <c r="V14" s="3">
        <v>25.506857838392524</v>
      </c>
      <c r="W14" s="12">
        <v>81.040000000000006</v>
      </c>
      <c r="X14" s="13">
        <v>299.8</v>
      </c>
      <c r="Y14" s="13">
        <v>378.6</v>
      </c>
      <c r="Z14" s="13">
        <v>2774</v>
      </c>
    </row>
    <row r="15" spans="1:26" x14ac:dyDescent="0.55000000000000004">
      <c r="A15" s="2">
        <v>14</v>
      </c>
      <c r="C15" s="2" t="s">
        <v>13</v>
      </c>
      <c r="D15" s="2">
        <v>7</v>
      </c>
      <c r="E15" s="2">
        <v>2</v>
      </c>
      <c r="F15" s="7">
        <v>-92.858537999999996</v>
      </c>
      <c r="G15" s="7">
        <v>41.688124999999999</v>
      </c>
      <c r="H15" s="2" t="s">
        <v>23</v>
      </c>
      <c r="I15" s="2">
        <v>5</v>
      </c>
      <c r="J15" s="2" t="s">
        <v>25</v>
      </c>
      <c r="K15" s="3">
        <f t="shared" si="0"/>
        <v>102.96287278352</v>
      </c>
      <c r="L15" s="3">
        <v>94.614666666666665</v>
      </c>
      <c r="M15" s="3">
        <v>235.62</v>
      </c>
      <c r="N15" s="3">
        <f t="shared" si="4"/>
        <v>141.00533333333334</v>
      </c>
      <c r="O15" s="3">
        <f t="shared" si="1"/>
        <v>1.369477458440751</v>
      </c>
      <c r="P15" s="3">
        <f t="shared" si="2"/>
        <v>0.48321605341858453</v>
      </c>
      <c r="Q15" s="15">
        <v>32.669917501187562</v>
      </c>
      <c r="R15" s="15">
        <v>32.318439599429972</v>
      </c>
      <c r="S15" s="15">
        <v>35.011642899382466</v>
      </c>
      <c r="T15" s="15">
        <f t="shared" si="3"/>
        <v>67.33008249881243</v>
      </c>
      <c r="U15" s="3">
        <v>415.83166332665331</v>
      </c>
      <c r="V15" s="3">
        <v>2.8340953153769379</v>
      </c>
      <c r="W15" s="12">
        <v>77.010000000000005</v>
      </c>
      <c r="X15" s="13">
        <v>235.7</v>
      </c>
      <c r="Y15" s="13">
        <v>497.5</v>
      </c>
      <c r="Z15" s="13">
        <v>3160</v>
      </c>
    </row>
    <row r="16" spans="1:26" x14ac:dyDescent="0.55000000000000004">
      <c r="A16" s="2">
        <v>15</v>
      </c>
      <c r="C16" s="2" t="s">
        <v>14</v>
      </c>
      <c r="D16" s="2">
        <v>8</v>
      </c>
      <c r="E16" s="2">
        <v>1</v>
      </c>
      <c r="F16" s="7">
        <v>-92.299670000000006</v>
      </c>
      <c r="G16" s="7">
        <v>41.891874000000001</v>
      </c>
      <c r="H16" s="2" t="s">
        <v>22</v>
      </c>
      <c r="I16" s="2">
        <v>5</v>
      </c>
      <c r="J16" s="2" t="s">
        <v>25</v>
      </c>
      <c r="K16" s="3">
        <f t="shared" si="0"/>
        <v>102.96287278352</v>
      </c>
      <c r="L16" s="3">
        <v>94.614666666666665</v>
      </c>
      <c r="M16" s="3">
        <v>201.25</v>
      </c>
      <c r="N16" s="3">
        <f t="shared" si="4"/>
        <v>106.63533333333334</v>
      </c>
      <c r="O16" s="3">
        <f t="shared" si="1"/>
        <v>1.0356678135577539</v>
      </c>
      <c r="P16" s="3">
        <f t="shared" si="2"/>
        <v>0.60918195714801737</v>
      </c>
      <c r="Q16" s="15">
        <v>14.520053371006956</v>
      </c>
      <c r="R16" s="15">
        <v>76.077152499803816</v>
      </c>
      <c r="S16" s="15">
        <v>9.4027941291892354</v>
      </c>
      <c r="T16" s="15">
        <f t="shared" si="3"/>
        <v>85.479946628993048</v>
      </c>
      <c r="U16" s="3">
        <v>465.93186372745492</v>
      </c>
      <c r="V16" s="3">
        <v>15.5875242345732</v>
      </c>
      <c r="W16" s="12">
        <v>47.65</v>
      </c>
      <c r="X16" s="13">
        <v>380.4</v>
      </c>
      <c r="Y16" s="13">
        <v>284.7</v>
      </c>
      <c r="Z16" s="13">
        <v>3489</v>
      </c>
    </row>
    <row r="17" spans="1:26" x14ac:dyDescent="0.55000000000000004">
      <c r="A17" s="2">
        <v>16</v>
      </c>
      <c r="C17" s="2" t="s">
        <v>15</v>
      </c>
      <c r="D17" s="2">
        <v>8</v>
      </c>
      <c r="E17" s="2">
        <v>2</v>
      </c>
      <c r="F17" s="7">
        <v>-92.299670000000006</v>
      </c>
      <c r="G17" s="7">
        <v>41.891874000000001</v>
      </c>
      <c r="H17" s="2" t="s">
        <v>24</v>
      </c>
      <c r="I17" s="2">
        <v>5</v>
      </c>
      <c r="J17" s="2" t="s">
        <v>25</v>
      </c>
      <c r="K17" s="3">
        <f t="shared" si="0"/>
        <v>102.96287278352</v>
      </c>
      <c r="L17" s="3">
        <v>94.614666666666665</v>
      </c>
      <c r="M17" s="3">
        <v>225.21</v>
      </c>
      <c r="N17" s="3">
        <f t="shared" si="4"/>
        <v>130.59533333333334</v>
      </c>
      <c r="O17" s="3">
        <f t="shared" si="1"/>
        <v>1.2683730533423514</v>
      </c>
      <c r="P17" s="3">
        <f t="shared" si="2"/>
        <v>0.52136865911609376</v>
      </c>
      <c r="Q17" s="15">
        <v>27.512981477175853</v>
      </c>
      <c r="R17" s="15">
        <v>65.310803689064556</v>
      </c>
      <c r="S17" s="15">
        <v>7.176214833759591</v>
      </c>
      <c r="T17" s="15">
        <f t="shared" si="3"/>
        <v>72.487018522824144</v>
      </c>
      <c r="U17" s="3">
        <v>432.86573146292585</v>
      </c>
      <c r="V17" s="3">
        <v>2.8340953153769379</v>
      </c>
      <c r="W17" s="12">
        <v>78.930000000000007</v>
      </c>
      <c r="X17" s="13">
        <v>346.6</v>
      </c>
      <c r="Y17" s="13">
        <v>512.79999999999995</v>
      </c>
      <c r="Z17" s="13">
        <v>3263</v>
      </c>
    </row>
    <row r="18" spans="1:26" x14ac:dyDescent="0.55000000000000004">
      <c r="A18" s="2">
        <v>17</v>
      </c>
      <c r="C18" s="2" t="s">
        <v>16</v>
      </c>
      <c r="D18" s="2">
        <v>9</v>
      </c>
      <c r="E18" s="2">
        <v>1</v>
      </c>
      <c r="F18" s="7">
        <v>-92.170322999999996</v>
      </c>
      <c r="G18" s="7">
        <v>41.630192000000001</v>
      </c>
      <c r="H18" s="2" t="s">
        <v>22</v>
      </c>
      <c r="I18" s="2">
        <v>2</v>
      </c>
      <c r="J18" s="2" t="s">
        <v>25</v>
      </c>
      <c r="K18" s="3">
        <f t="shared" si="0"/>
        <v>102.96287278352</v>
      </c>
      <c r="L18" s="3">
        <v>94.614666666666665</v>
      </c>
      <c r="M18" s="3">
        <v>198.78</v>
      </c>
      <c r="N18" s="3">
        <f t="shared" si="4"/>
        <v>104.16533333333334</v>
      </c>
      <c r="O18" s="3">
        <f t="shared" si="1"/>
        <v>1.0116785839138493</v>
      </c>
      <c r="P18" s="3">
        <f t="shared" si="2"/>
        <v>0.61823449663628327</v>
      </c>
      <c r="Q18" s="15">
        <v>48.524137401944827</v>
      </c>
      <c r="R18" s="15">
        <v>26.870400276184807</v>
      </c>
      <c r="S18" s="15">
        <v>24.605462321870373</v>
      </c>
      <c r="T18" s="15">
        <f t="shared" si="3"/>
        <v>51.47586259805518</v>
      </c>
      <c r="U18" s="3">
        <v>390.78156312625254</v>
      </c>
      <c r="V18" s="3">
        <v>12.753428919196221</v>
      </c>
      <c r="W18" s="12">
        <v>53.05</v>
      </c>
      <c r="X18" s="13">
        <v>376.5</v>
      </c>
      <c r="Y18" s="13">
        <v>435.3</v>
      </c>
      <c r="Z18" s="13">
        <v>2248</v>
      </c>
    </row>
    <row r="19" spans="1:26" x14ac:dyDescent="0.55000000000000004">
      <c r="A19" s="2">
        <v>18</v>
      </c>
      <c r="C19" s="2" t="s">
        <v>17</v>
      </c>
      <c r="D19" s="2">
        <v>9</v>
      </c>
      <c r="E19" s="2">
        <v>2</v>
      </c>
      <c r="F19" s="7">
        <v>-92.170322999999996</v>
      </c>
      <c r="G19" s="7">
        <v>41.630192000000001</v>
      </c>
      <c r="H19" s="2" t="s">
        <v>24</v>
      </c>
      <c r="I19" s="2">
        <v>2</v>
      </c>
      <c r="J19" s="2" t="s">
        <v>25</v>
      </c>
      <c r="K19" s="3">
        <f t="shared" si="0"/>
        <v>102.96287278352</v>
      </c>
      <c r="L19" s="3">
        <v>94.614666666666665</v>
      </c>
      <c r="M19" s="3">
        <v>222.97</v>
      </c>
      <c r="N19" s="3">
        <f t="shared" si="4"/>
        <v>128.35533333333333</v>
      </c>
      <c r="O19" s="3">
        <f t="shared" si="1"/>
        <v>1.2466176386045591</v>
      </c>
      <c r="P19" s="3">
        <f t="shared" si="2"/>
        <v>0.52957824958318522</v>
      </c>
      <c r="Q19" s="15">
        <v>6.7545419327923062</v>
      </c>
      <c r="R19" s="15">
        <v>66.017784311583043</v>
      </c>
      <c r="S19" s="15">
        <v>27.22767375562465</v>
      </c>
      <c r="T19" s="15">
        <f t="shared" si="3"/>
        <v>93.245458067207693</v>
      </c>
      <c r="U19" s="3">
        <v>356.71342685370746</v>
      </c>
      <c r="V19" s="3">
        <v>25.506857838392481</v>
      </c>
      <c r="W19" s="12">
        <v>26.78</v>
      </c>
      <c r="X19" s="13">
        <v>502.5</v>
      </c>
      <c r="Y19" s="13">
        <v>265.10000000000002</v>
      </c>
      <c r="Z19" s="13">
        <v>2311</v>
      </c>
    </row>
    <row r="20" spans="1:26" x14ac:dyDescent="0.55000000000000004">
      <c r="A20" s="2">
        <v>19</v>
      </c>
      <c r="C20" s="2" t="s">
        <v>18</v>
      </c>
      <c r="D20" s="2">
        <v>10</v>
      </c>
      <c r="E20" s="2">
        <v>1</v>
      </c>
      <c r="F20" s="7">
        <v>-91.612015999999997</v>
      </c>
      <c r="G20" s="7">
        <v>41.561543</v>
      </c>
      <c r="H20" s="2" t="s">
        <v>22</v>
      </c>
      <c r="I20" s="2">
        <v>2</v>
      </c>
      <c r="J20" s="2" t="s">
        <v>25</v>
      </c>
      <c r="K20" s="3">
        <f t="shared" si="0"/>
        <v>102.96287278352</v>
      </c>
      <c r="L20" s="3">
        <v>94.614666666666665</v>
      </c>
      <c r="M20" s="3">
        <v>215.9</v>
      </c>
      <c r="N20" s="3">
        <f t="shared" si="4"/>
        <v>121.28533333333334</v>
      </c>
      <c r="O20" s="3">
        <f t="shared" si="1"/>
        <v>1.177952110838403</v>
      </c>
      <c r="P20" s="3">
        <f t="shared" si="2"/>
        <v>0.55548976949494222</v>
      </c>
      <c r="Q20" s="15">
        <v>18.869602157655034</v>
      </c>
      <c r="R20" s="15">
        <v>41.863285286650004</v>
      </c>
      <c r="S20" s="15">
        <v>39.267112555694958</v>
      </c>
      <c r="T20" s="15">
        <f t="shared" si="3"/>
        <v>81.130397842344962</v>
      </c>
      <c r="U20" s="3">
        <v>311.12224448897797</v>
      </c>
      <c r="V20" s="3">
        <v>29.049476982613676</v>
      </c>
      <c r="W20" s="12">
        <v>26.21</v>
      </c>
      <c r="X20" s="13">
        <v>567.79999999999995</v>
      </c>
      <c r="Y20" s="13">
        <v>165.3</v>
      </c>
      <c r="Z20" s="13">
        <v>2059</v>
      </c>
    </row>
    <row r="21" spans="1:26" x14ac:dyDescent="0.55000000000000004">
      <c r="A21" s="2">
        <v>20</v>
      </c>
      <c r="C21" s="2" t="s">
        <v>19</v>
      </c>
      <c r="D21" s="2">
        <v>10</v>
      </c>
      <c r="E21" s="2">
        <v>2</v>
      </c>
      <c r="F21" s="7">
        <v>-91.612015999999997</v>
      </c>
      <c r="G21" s="7">
        <v>41.561543</v>
      </c>
      <c r="H21" s="2" t="s">
        <v>24</v>
      </c>
      <c r="I21" s="2">
        <v>2</v>
      </c>
      <c r="J21" s="2" t="s">
        <v>25</v>
      </c>
      <c r="K21" s="3">
        <f t="shared" si="0"/>
        <v>102.96287278352</v>
      </c>
      <c r="L21" s="3">
        <v>94.614666666666665</v>
      </c>
      <c r="M21" s="3">
        <v>227.82</v>
      </c>
      <c r="N21" s="3">
        <f t="shared" si="4"/>
        <v>133.20533333333333</v>
      </c>
      <c r="O21" s="3">
        <f t="shared" si="1"/>
        <v>1.2937219964073678</v>
      </c>
      <c r="P21" s="3">
        <f t="shared" si="2"/>
        <v>0.51180302022363477</v>
      </c>
      <c r="Q21" s="15">
        <v>8.3411733897171079</v>
      </c>
      <c r="R21" s="15">
        <v>65.261084546521417</v>
      </c>
      <c r="S21" s="15">
        <v>26.397742063761477</v>
      </c>
      <c r="T21" s="15">
        <f t="shared" si="3"/>
        <v>91.658826610282887</v>
      </c>
      <c r="U21" s="3">
        <v>340.18036072144287</v>
      </c>
      <c r="V21" s="3">
        <v>40.385858244121465</v>
      </c>
      <c r="W21" s="12">
        <v>33.86</v>
      </c>
      <c r="X21" s="13">
        <v>560.29999999999995</v>
      </c>
      <c r="Y21" s="13">
        <v>225.5</v>
      </c>
      <c r="Z21" s="13">
        <v>3221</v>
      </c>
    </row>
    <row r="22" spans="1:26" x14ac:dyDescent="0.55000000000000004">
      <c r="A22" s="2">
        <v>21</v>
      </c>
      <c r="C22" s="2" t="s">
        <v>21</v>
      </c>
      <c r="D22" s="2">
        <v>11</v>
      </c>
      <c r="E22" s="4">
        <v>1</v>
      </c>
      <c r="F22" s="7">
        <v>-91.599780999999993</v>
      </c>
      <c r="G22" s="7">
        <v>41.727991000000003</v>
      </c>
      <c r="H22" s="2" t="s">
        <v>22</v>
      </c>
      <c r="I22" s="2">
        <v>3</v>
      </c>
      <c r="J22" s="2" t="s">
        <v>25</v>
      </c>
      <c r="Q22" s="15">
        <v>69.154385688391514</v>
      </c>
      <c r="R22" s="15">
        <v>15.607880841673891</v>
      </c>
      <c r="S22" s="15">
        <v>15.237733469934589</v>
      </c>
      <c r="T22" s="15">
        <f t="shared" si="3"/>
        <v>30.845614311608479</v>
      </c>
      <c r="U22" s="3">
        <v>193.38677354709418</v>
      </c>
      <c r="V22" s="3">
        <v>21.255714865327075</v>
      </c>
      <c r="W22" s="12">
        <v>40.340000000000003</v>
      </c>
      <c r="X22" s="13">
        <v>559.9</v>
      </c>
      <c r="Y22" s="13">
        <v>110.3</v>
      </c>
      <c r="Z22" s="13">
        <v>1048</v>
      </c>
    </row>
    <row r="23" spans="1:26" x14ac:dyDescent="0.55000000000000004">
      <c r="A23" s="2">
        <v>22</v>
      </c>
      <c r="C23" s="2" t="s">
        <v>21</v>
      </c>
      <c r="D23" s="2">
        <v>11</v>
      </c>
      <c r="E23" s="4">
        <v>2</v>
      </c>
      <c r="F23" s="7">
        <v>-91.599780999999993</v>
      </c>
      <c r="G23" s="7">
        <v>41.727991000000003</v>
      </c>
      <c r="H23" s="2" t="s">
        <v>23</v>
      </c>
      <c r="I23" s="2">
        <v>3</v>
      </c>
      <c r="J23" s="2" t="s">
        <v>25</v>
      </c>
      <c r="Q23" s="15">
        <v>79.33535695982971</v>
      </c>
      <c r="R23" s="15">
        <v>8.8031379351125469</v>
      </c>
      <c r="S23" s="15">
        <v>11.861505105057752</v>
      </c>
      <c r="T23" s="15">
        <f t="shared" si="3"/>
        <v>20.664643040170297</v>
      </c>
      <c r="U23" s="3">
        <v>110.22044088176354</v>
      </c>
      <c r="V23" s="3">
        <v>1.417047657688469</v>
      </c>
      <c r="W23" s="12">
        <v>7.41</v>
      </c>
      <c r="X23" s="13">
        <v>586.5</v>
      </c>
      <c r="Y23" s="13">
        <v>117.9</v>
      </c>
      <c r="Z23" s="13">
        <v>329</v>
      </c>
    </row>
    <row r="24" spans="1:26" x14ac:dyDescent="0.55000000000000004">
      <c r="A24" s="2">
        <v>23</v>
      </c>
      <c r="C24" s="2" t="s">
        <v>21</v>
      </c>
      <c r="D24" s="2">
        <v>11</v>
      </c>
      <c r="E24" s="4">
        <v>3</v>
      </c>
      <c r="F24" s="7">
        <v>-91.599780999999993</v>
      </c>
      <c r="G24" s="7">
        <v>41.727991000000003</v>
      </c>
      <c r="H24" s="2" t="s">
        <v>24</v>
      </c>
      <c r="I24" s="2">
        <v>3</v>
      </c>
      <c r="J24" s="2" t="s">
        <v>25</v>
      </c>
      <c r="Q24" s="15">
        <v>23.423300838767993</v>
      </c>
      <c r="R24" s="15">
        <v>32.621673842684842</v>
      </c>
      <c r="S24" s="15">
        <v>43.955025318547172</v>
      </c>
      <c r="T24" s="15">
        <f t="shared" si="3"/>
        <v>76.576699161232014</v>
      </c>
      <c r="U24" s="3">
        <v>379.75951903807618</v>
      </c>
      <c r="V24" s="3">
        <v>11.336381261507793</v>
      </c>
      <c r="W24" s="12">
        <v>25.84</v>
      </c>
      <c r="X24" s="13">
        <v>627.6</v>
      </c>
      <c r="Y24" s="13">
        <v>256.10000000000002</v>
      </c>
      <c r="Z24" s="13">
        <v>2157</v>
      </c>
    </row>
    <row r="25" spans="1:26" x14ac:dyDescent="0.55000000000000004">
      <c r="A25" s="2">
        <v>24</v>
      </c>
      <c r="C25" s="2" t="s">
        <v>21</v>
      </c>
      <c r="D25" s="2">
        <v>12</v>
      </c>
      <c r="E25" s="4">
        <v>1</v>
      </c>
      <c r="F25" s="7">
        <v>-91.575517000000005</v>
      </c>
      <c r="G25" s="7">
        <v>41.709415999999997</v>
      </c>
      <c r="H25" s="2" t="s">
        <v>23</v>
      </c>
      <c r="I25" s="2">
        <v>4</v>
      </c>
      <c r="J25" s="2" t="s">
        <v>25</v>
      </c>
      <c r="Q25" s="15">
        <v>91.820194512532652</v>
      </c>
      <c r="R25" s="15">
        <v>2.920190559025845</v>
      </c>
      <c r="S25" s="15">
        <v>5.2596149284415077</v>
      </c>
      <c r="T25" s="15">
        <f t="shared" si="3"/>
        <v>8.1798054874673518</v>
      </c>
      <c r="U25" s="3">
        <v>109.71943887775552</v>
      </c>
      <c r="V25" s="3">
        <v>3.5426191442211925</v>
      </c>
      <c r="W25" s="12">
        <v>28.4</v>
      </c>
      <c r="X25" s="13">
        <v>142.9</v>
      </c>
      <c r="Y25" s="13">
        <v>224.8</v>
      </c>
      <c r="Z25" s="13">
        <v>637.9</v>
      </c>
    </row>
    <row r="26" spans="1:26" x14ac:dyDescent="0.55000000000000004">
      <c r="A26" s="2">
        <v>25</v>
      </c>
      <c r="C26" s="2" t="s">
        <v>21</v>
      </c>
      <c r="D26" s="2">
        <v>12</v>
      </c>
      <c r="E26" s="4">
        <v>2</v>
      </c>
      <c r="F26" s="7">
        <v>-91.575517000000005</v>
      </c>
      <c r="G26" s="7">
        <v>41.709415999999997</v>
      </c>
      <c r="H26" s="2" t="s">
        <v>22</v>
      </c>
      <c r="I26" s="2">
        <v>4</v>
      </c>
      <c r="J26" s="2" t="s">
        <v>25</v>
      </c>
      <c r="Q26" s="15">
        <v>58.101058860168166</v>
      </c>
      <c r="R26" s="15">
        <v>33.142062441606981</v>
      </c>
      <c r="S26" s="15">
        <v>8.7568786982248525</v>
      </c>
      <c r="T26" s="15">
        <f t="shared" si="3"/>
        <v>41.898941139831834</v>
      </c>
      <c r="U26" s="3">
        <v>292.58517034068132</v>
      </c>
      <c r="V26" s="3">
        <v>22.672762523015543</v>
      </c>
      <c r="W26" s="12">
        <v>61</v>
      </c>
      <c r="X26" s="13">
        <v>252.4</v>
      </c>
      <c r="Y26" s="13">
        <v>382.7</v>
      </c>
      <c r="Z26" s="13">
        <v>2401</v>
      </c>
    </row>
    <row r="27" spans="1:26" x14ac:dyDescent="0.55000000000000004">
      <c r="A27" s="2">
        <v>26</v>
      </c>
      <c r="C27" s="2" t="s">
        <v>21</v>
      </c>
      <c r="D27" s="2">
        <v>13</v>
      </c>
      <c r="E27" s="4">
        <v>1</v>
      </c>
      <c r="F27" s="7">
        <v>-91.520437000000001</v>
      </c>
      <c r="G27" s="7">
        <v>41.698199000000002</v>
      </c>
      <c r="H27" s="2" t="s">
        <v>22</v>
      </c>
      <c r="I27" s="2">
        <v>4</v>
      </c>
      <c r="J27" s="2" t="s">
        <v>25</v>
      </c>
      <c r="Q27" s="15">
        <v>15.274362127267139</v>
      </c>
      <c r="R27" s="15">
        <v>74.982189517368582</v>
      </c>
      <c r="S27" s="15">
        <v>9.7434483553642792</v>
      </c>
      <c r="T27" s="15">
        <f t="shared" si="3"/>
        <v>84.725637872732861</v>
      </c>
      <c r="U27" s="3">
        <v>523.04609218436872</v>
      </c>
      <c r="V27" s="3">
        <v>42.51142973065415</v>
      </c>
      <c r="W27" s="12">
        <v>94.44</v>
      </c>
      <c r="X27" s="13">
        <v>383.1</v>
      </c>
      <c r="Y27" s="13">
        <v>494</v>
      </c>
      <c r="Z27" s="13">
        <v>3112</v>
      </c>
    </row>
    <row r="28" spans="1:26" x14ac:dyDescent="0.55000000000000004">
      <c r="A28" s="2">
        <v>27</v>
      </c>
      <c r="C28" s="2" t="s">
        <v>49</v>
      </c>
      <c r="D28" s="2">
        <v>14</v>
      </c>
      <c r="E28" s="4">
        <v>1</v>
      </c>
      <c r="F28" s="7">
        <v>-90.857000999999997</v>
      </c>
      <c r="G28" s="7">
        <v>42.125295000000001</v>
      </c>
      <c r="H28" s="2" t="s">
        <v>22</v>
      </c>
      <c r="I28" s="2">
        <v>5</v>
      </c>
      <c r="J28" s="2">
        <v>105</v>
      </c>
      <c r="K28" s="3">
        <f t="shared" si="0"/>
        <v>102.96287278352</v>
      </c>
      <c r="L28" s="3">
        <v>94.614666666666665</v>
      </c>
      <c r="M28" s="3">
        <v>215.51</v>
      </c>
      <c r="N28" s="3">
        <f t="shared" ref="N28:N59" si="5">M28-L28</f>
        <v>120.89533333333333</v>
      </c>
      <c r="O28" s="3">
        <f t="shared" si="1"/>
        <v>1.1741643377367337</v>
      </c>
      <c r="P28" s="3">
        <f t="shared" si="2"/>
        <v>0.55691911783519488</v>
      </c>
      <c r="Q28" s="15">
        <v>45.136938375267306</v>
      </c>
      <c r="R28" s="15">
        <v>46.194697888024933</v>
      </c>
      <c r="S28" s="15">
        <v>8.6683637367077662</v>
      </c>
      <c r="T28" s="15">
        <f t="shared" si="3"/>
        <v>54.863061624732701</v>
      </c>
      <c r="U28" s="3">
        <v>320.14028056112227</v>
      </c>
      <c r="V28" s="3">
        <v>13.461952748040476</v>
      </c>
      <c r="W28" s="12">
        <v>38.22</v>
      </c>
      <c r="X28" s="13">
        <v>348.8</v>
      </c>
      <c r="Y28" s="13">
        <v>243.9</v>
      </c>
      <c r="Z28" s="13">
        <v>1701</v>
      </c>
    </row>
    <row r="29" spans="1:26" x14ac:dyDescent="0.55000000000000004">
      <c r="A29" s="2">
        <v>28</v>
      </c>
      <c r="C29" s="2" t="s">
        <v>50</v>
      </c>
      <c r="D29" s="2">
        <v>14</v>
      </c>
      <c r="E29" s="4">
        <v>2</v>
      </c>
      <c r="F29" s="7">
        <v>-90.857000999999997</v>
      </c>
      <c r="G29" s="7">
        <v>42.125295000000001</v>
      </c>
      <c r="H29" s="2" t="s">
        <v>23</v>
      </c>
      <c r="I29" s="2">
        <v>5</v>
      </c>
      <c r="J29" s="2">
        <v>105</v>
      </c>
      <c r="K29" s="3">
        <f t="shared" si="0"/>
        <v>102.96287278352</v>
      </c>
      <c r="L29" s="3">
        <v>94.614666666666665</v>
      </c>
      <c r="M29" s="3">
        <v>227.04</v>
      </c>
      <c r="N29" s="3">
        <f t="shared" si="5"/>
        <v>132.42533333333333</v>
      </c>
      <c r="O29" s="3">
        <f t="shared" si="1"/>
        <v>1.2861464502040294</v>
      </c>
      <c r="P29" s="3">
        <f t="shared" si="2"/>
        <v>0.51466171690413987</v>
      </c>
      <c r="Q29" s="15">
        <v>33.453272391325498</v>
      </c>
      <c r="R29" s="15">
        <v>56.631265194981985</v>
      </c>
      <c r="S29" s="15">
        <v>9.9154624136924987</v>
      </c>
      <c r="T29" s="15">
        <f t="shared" si="3"/>
        <v>66.546727608674487</v>
      </c>
      <c r="U29" s="3">
        <v>281.56312625250501</v>
      </c>
      <c r="V29" s="3">
        <v>2.8340953153769379</v>
      </c>
      <c r="W29" s="12">
        <v>35.29</v>
      </c>
      <c r="X29" s="13">
        <v>391.3</v>
      </c>
      <c r="Y29" s="13">
        <v>223.1</v>
      </c>
      <c r="Z29" s="13">
        <v>1939</v>
      </c>
    </row>
    <row r="30" spans="1:26" x14ac:dyDescent="0.55000000000000004">
      <c r="A30" s="2">
        <v>29</v>
      </c>
      <c r="C30" s="2" t="s">
        <v>51</v>
      </c>
      <c r="D30" s="2">
        <v>14</v>
      </c>
      <c r="E30" s="4">
        <v>3</v>
      </c>
      <c r="F30" s="7">
        <v>-90.857000999999997</v>
      </c>
      <c r="G30" s="7">
        <v>42.125295000000001</v>
      </c>
      <c r="H30" s="2" t="s">
        <v>24</v>
      </c>
      <c r="I30" s="2">
        <v>5</v>
      </c>
      <c r="J30" s="2">
        <v>105</v>
      </c>
      <c r="K30" s="3">
        <f t="shared" si="0"/>
        <v>102.96287278352</v>
      </c>
      <c r="L30" s="3">
        <v>94.614666666666665</v>
      </c>
      <c r="M30" s="3">
        <v>225.04</v>
      </c>
      <c r="N30" s="3">
        <f t="shared" si="5"/>
        <v>130.42533333333333</v>
      </c>
      <c r="O30" s="3">
        <f t="shared" si="1"/>
        <v>1.2667219727595722</v>
      </c>
      <c r="P30" s="3">
        <f t="shared" si="2"/>
        <v>0.52199170839261422</v>
      </c>
      <c r="Q30" s="15">
        <v>41.289892312822438</v>
      </c>
      <c r="R30" s="15">
        <v>49.786171318726574</v>
      </c>
      <c r="S30" s="15">
        <v>8.92393636845099</v>
      </c>
      <c r="T30" s="15">
        <f t="shared" si="3"/>
        <v>58.710107687177562</v>
      </c>
      <c r="U30" s="3">
        <v>313.12625250501003</v>
      </c>
      <c r="V30" s="3">
        <v>21.964238694171289</v>
      </c>
      <c r="W30" s="12">
        <v>52.3</v>
      </c>
      <c r="X30" s="13">
        <v>364</v>
      </c>
      <c r="Y30" s="13">
        <v>434.9</v>
      </c>
      <c r="Z30" s="13">
        <v>2014</v>
      </c>
    </row>
    <row r="31" spans="1:26" x14ac:dyDescent="0.55000000000000004">
      <c r="A31" s="2">
        <v>30</v>
      </c>
      <c r="C31" s="2" t="s">
        <v>52</v>
      </c>
      <c r="D31" s="2">
        <v>15</v>
      </c>
      <c r="E31" s="4">
        <v>1</v>
      </c>
      <c r="F31" s="7">
        <v>-90.885193999999998</v>
      </c>
      <c r="G31" s="7">
        <v>42.162990000000001</v>
      </c>
      <c r="H31" s="2" t="s">
        <v>22</v>
      </c>
      <c r="I31" s="2">
        <v>1</v>
      </c>
      <c r="J31" s="2">
        <v>105</v>
      </c>
      <c r="K31" s="3">
        <f t="shared" si="0"/>
        <v>102.96287278352</v>
      </c>
      <c r="L31" s="3">
        <v>94.614666666666665</v>
      </c>
      <c r="M31" s="3">
        <v>227.63</v>
      </c>
      <c r="N31" s="3">
        <f t="shared" si="5"/>
        <v>133.01533333333333</v>
      </c>
      <c r="O31" s="3">
        <f t="shared" si="1"/>
        <v>1.2918766710501444</v>
      </c>
      <c r="P31" s="3">
        <f t="shared" si="2"/>
        <v>0.51249936941503982</v>
      </c>
      <c r="Q31" s="15">
        <v>55.893284162609127</v>
      </c>
      <c r="R31" s="15">
        <v>29.683819758564056</v>
      </c>
      <c r="S31" s="15">
        <v>14.422896078826819</v>
      </c>
      <c r="T31" s="15">
        <f t="shared" si="3"/>
        <v>44.106715837390873</v>
      </c>
      <c r="U31" s="3">
        <v>371.24248496993988</v>
      </c>
      <c r="V31" s="3">
        <v>0.70852382884421439</v>
      </c>
      <c r="W31" s="12">
        <v>45.28</v>
      </c>
      <c r="X31" s="13">
        <v>431.6</v>
      </c>
      <c r="Y31" s="13">
        <v>150.5</v>
      </c>
      <c r="Z31" s="13">
        <v>849.3</v>
      </c>
    </row>
    <row r="32" spans="1:26" x14ac:dyDescent="0.55000000000000004">
      <c r="A32" s="2">
        <v>31</v>
      </c>
      <c r="C32" s="2" t="s">
        <v>53</v>
      </c>
      <c r="D32" s="2">
        <v>15</v>
      </c>
      <c r="E32" s="4">
        <v>2</v>
      </c>
      <c r="F32" s="7">
        <v>-90.885193999999998</v>
      </c>
      <c r="G32" s="7">
        <v>42.162990000000001</v>
      </c>
      <c r="H32" s="2" t="s">
        <v>23</v>
      </c>
      <c r="I32" s="2">
        <v>1</v>
      </c>
      <c r="J32" s="2">
        <v>105</v>
      </c>
      <c r="K32" s="3">
        <f t="shared" si="0"/>
        <v>102.96287278352</v>
      </c>
      <c r="L32" s="3">
        <v>94.614666666666665</v>
      </c>
      <c r="M32" s="3">
        <v>231.11</v>
      </c>
      <c r="N32" s="3">
        <f t="shared" si="5"/>
        <v>136.49533333333335</v>
      </c>
      <c r="O32" s="3">
        <f t="shared" si="1"/>
        <v>1.3256752618035001</v>
      </c>
      <c r="P32" s="3">
        <f t="shared" si="2"/>
        <v>0.49974518422509429</v>
      </c>
      <c r="Q32" s="15">
        <v>33.520645003664789</v>
      </c>
      <c r="R32" s="15">
        <v>51.720938187148789</v>
      </c>
      <c r="S32" s="15">
        <v>14.758416809186418</v>
      </c>
      <c r="T32" s="15">
        <f t="shared" si="3"/>
        <v>66.479354996335204</v>
      </c>
      <c r="U32" s="3">
        <v>528.55711422845695</v>
      </c>
      <c r="V32" s="3">
        <v>26.21538166723678</v>
      </c>
      <c r="W32" s="12">
        <v>99.76</v>
      </c>
      <c r="X32" s="13">
        <v>442.3</v>
      </c>
      <c r="Y32" s="13">
        <v>469</v>
      </c>
      <c r="Z32" s="13">
        <v>1310</v>
      </c>
    </row>
    <row r="33" spans="1:26" x14ac:dyDescent="0.55000000000000004">
      <c r="A33" s="2">
        <v>32</v>
      </c>
      <c r="C33" s="2" t="s">
        <v>54</v>
      </c>
      <c r="D33" s="2">
        <v>16</v>
      </c>
      <c r="E33" s="4">
        <v>1</v>
      </c>
      <c r="F33" s="7">
        <v>-90.52355</v>
      </c>
      <c r="G33" s="7">
        <v>42.271073000000001</v>
      </c>
      <c r="H33" s="2" t="s">
        <v>23</v>
      </c>
      <c r="I33" s="2">
        <v>3</v>
      </c>
      <c r="J33" s="2">
        <v>105</v>
      </c>
      <c r="K33" s="3">
        <f t="shared" si="0"/>
        <v>102.96287278352</v>
      </c>
      <c r="L33" s="3">
        <v>94.614666666666665</v>
      </c>
      <c r="M33" s="3">
        <v>224.85</v>
      </c>
      <c r="N33" s="3">
        <f t="shared" si="5"/>
        <v>130.23533333333333</v>
      </c>
      <c r="O33" s="3">
        <f t="shared" si="1"/>
        <v>1.264876647402349</v>
      </c>
      <c r="P33" s="3">
        <f t="shared" si="2"/>
        <v>0.52268805758401926</v>
      </c>
      <c r="Q33" s="15">
        <v>16.322461466284814</v>
      </c>
      <c r="R33" s="15">
        <v>66.60732067283729</v>
      </c>
      <c r="S33" s="15">
        <v>17.070217860877896</v>
      </c>
      <c r="T33" s="15">
        <f t="shared" si="3"/>
        <v>83.677538533715193</v>
      </c>
      <c r="U33" s="3">
        <v>309.61923847695391</v>
      </c>
      <c r="V33" s="3">
        <v>1.4170476576885092</v>
      </c>
      <c r="W33" s="12">
        <v>34.590000000000003</v>
      </c>
      <c r="X33" s="13">
        <v>484.1</v>
      </c>
      <c r="Y33" s="13">
        <v>242.3</v>
      </c>
      <c r="Z33" s="13">
        <v>1754</v>
      </c>
    </row>
    <row r="34" spans="1:26" x14ac:dyDescent="0.55000000000000004">
      <c r="A34" s="2">
        <v>33</v>
      </c>
      <c r="C34" s="2" t="s">
        <v>55</v>
      </c>
      <c r="D34" s="2">
        <v>16</v>
      </c>
      <c r="E34" s="4">
        <v>2</v>
      </c>
      <c r="F34" s="7">
        <v>-90.52355</v>
      </c>
      <c r="G34" s="7">
        <v>42.271073000000001</v>
      </c>
      <c r="H34" s="2" t="s">
        <v>24</v>
      </c>
      <c r="I34" s="2">
        <v>3</v>
      </c>
      <c r="J34" s="2">
        <v>105</v>
      </c>
      <c r="K34" s="3">
        <f t="shared" ref="K34:K65" si="6">3.14159*(2.54^2)*5.08</f>
        <v>102.96287278352</v>
      </c>
      <c r="L34" s="3">
        <v>94.614666666666665</v>
      </c>
      <c r="M34" s="3">
        <v>222.59</v>
      </c>
      <c r="N34" s="3">
        <f t="shared" si="5"/>
        <v>127.97533333333334</v>
      </c>
      <c r="O34" s="3">
        <f t="shared" ref="O34:O65" si="7">N34/K34</f>
        <v>1.2429269878901124</v>
      </c>
      <c r="P34" s="3">
        <f t="shared" ref="P34:P65" si="8">1-(O34/2.65)</f>
        <v>0.53097094796599531</v>
      </c>
      <c r="Q34" s="15">
        <v>22.357684737536065</v>
      </c>
      <c r="R34" s="15">
        <v>61.492713687871436</v>
      </c>
      <c r="S34" s="15">
        <v>16.149601574592499</v>
      </c>
      <c r="T34" s="15">
        <f t="shared" si="3"/>
        <v>77.642315262463939</v>
      </c>
      <c r="U34" s="3">
        <v>356.21242484969935</v>
      </c>
      <c r="V34" s="3">
        <v>9.2108097749750684</v>
      </c>
      <c r="W34" s="12">
        <v>35.11</v>
      </c>
      <c r="X34" s="13">
        <v>414</v>
      </c>
      <c r="Y34" s="13">
        <v>267</v>
      </c>
      <c r="Z34" s="13">
        <v>2457</v>
      </c>
    </row>
    <row r="35" spans="1:26" x14ac:dyDescent="0.55000000000000004">
      <c r="A35" s="2">
        <v>34</v>
      </c>
      <c r="C35" s="2" t="s">
        <v>56</v>
      </c>
      <c r="D35" s="2">
        <v>17</v>
      </c>
      <c r="E35" s="4">
        <v>1</v>
      </c>
      <c r="F35" s="7">
        <v>-90.866236999999998</v>
      </c>
      <c r="G35" s="7">
        <v>42.497172999999997</v>
      </c>
      <c r="H35" s="2" t="s">
        <v>22</v>
      </c>
      <c r="I35" s="2">
        <v>1</v>
      </c>
      <c r="J35" s="2">
        <v>105</v>
      </c>
      <c r="K35" s="3">
        <f t="shared" si="6"/>
        <v>102.96287278352</v>
      </c>
      <c r="L35" s="3">
        <v>94.614666666666665</v>
      </c>
      <c r="M35" s="3">
        <v>204.5</v>
      </c>
      <c r="N35" s="3">
        <f t="shared" si="5"/>
        <v>109.88533333333334</v>
      </c>
      <c r="O35" s="3">
        <f t="shared" si="7"/>
        <v>1.067232589404997</v>
      </c>
      <c r="P35" s="3">
        <f t="shared" si="8"/>
        <v>0.59727072097924638</v>
      </c>
      <c r="Q35" s="15">
        <v>11.133377866844821</v>
      </c>
      <c r="R35" s="15">
        <v>79.891093297706504</v>
      </c>
      <c r="S35" s="15">
        <v>8.9755288354486726</v>
      </c>
      <c r="T35" s="15">
        <f t="shared" si="3"/>
        <v>88.866622133155175</v>
      </c>
      <c r="U35" s="10"/>
      <c r="V35" s="10">
        <v>158.70933766110886</v>
      </c>
      <c r="W35" s="12">
        <v>88</v>
      </c>
      <c r="X35" s="13">
        <v>474.7</v>
      </c>
      <c r="Y35" s="13">
        <v>231.6</v>
      </c>
      <c r="Z35" s="13">
        <v>3117</v>
      </c>
    </row>
    <row r="36" spans="1:26" x14ac:dyDescent="0.55000000000000004">
      <c r="A36" s="2">
        <v>35</v>
      </c>
      <c r="C36" s="2" t="s">
        <v>57</v>
      </c>
      <c r="D36" s="2">
        <v>17</v>
      </c>
      <c r="E36" s="4">
        <v>2</v>
      </c>
      <c r="F36" s="7">
        <v>-90.866236999999998</v>
      </c>
      <c r="G36" s="7">
        <v>42.497172999999997</v>
      </c>
      <c r="H36" s="2" t="s">
        <v>24</v>
      </c>
      <c r="I36" s="2">
        <v>1</v>
      </c>
      <c r="J36" s="2">
        <v>105</v>
      </c>
      <c r="K36" s="3">
        <f t="shared" si="6"/>
        <v>102.96287278352</v>
      </c>
      <c r="L36" s="3">
        <v>94.614666666666665</v>
      </c>
      <c r="M36" s="3">
        <v>225.83</v>
      </c>
      <c r="N36" s="3">
        <f t="shared" si="5"/>
        <v>131.21533333333335</v>
      </c>
      <c r="O36" s="3">
        <f t="shared" si="7"/>
        <v>1.274394641350133</v>
      </c>
      <c r="P36" s="3">
        <f t="shared" si="8"/>
        <v>0.51909636175466678</v>
      </c>
      <c r="Q36" s="15">
        <v>31.264341441027995</v>
      </c>
      <c r="R36" s="15">
        <v>61.174736117485082</v>
      </c>
      <c r="S36" s="15">
        <v>7.5609224414869214</v>
      </c>
      <c r="T36" s="15">
        <f t="shared" si="3"/>
        <v>68.735658558972005</v>
      </c>
      <c r="U36" s="10"/>
      <c r="V36" s="10">
        <v>1402.877181111586</v>
      </c>
      <c r="W36" s="12">
        <v>87.95</v>
      </c>
      <c r="X36" s="13">
        <v>441.8</v>
      </c>
      <c r="Y36" s="13">
        <v>280.7</v>
      </c>
      <c r="Z36" s="13">
        <v>2119</v>
      </c>
    </row>
    <row r="37" spans="1:26" x14ac:dyDescent="0.55000000000000004">
      <c r="A37" s="2">
        <v>36</v>
      </c>
      <c r="C37" s="2" t="s">
        <v>58</v>
      </c>
      <c r="D37" s="2">
        <v>18</v>
      </c>
      <c r="E37" s="4">
        <v>1</v>
      </c>
      <c r="F37" s="7">
        <v>-90.959594999999993</v>
      </c>
      <c r="G37" s="7">
        <v>42.557011000000003</v>
      </c>
      <c r="H37" s="2" t="s">
        <v>22</v>
      </c>
      <c r="I37" s="2">
        <v>2</v>
      </c>
      <c r="J37" s="2">
        <v>105</v>
      </c>
      <c r="K37" s="3">
        <f t="shared" si="6"/>
        <v>102.96287278352</v>
      </c>
      <c r="L37" s="3">
        <v>94.614666666666665</v>
      </c>
      <c r="M37" s="3">
        <v>212.23</v>
      </c>
      <c r="N37" s="3">
        <f t="shared" si="5"/>
        <v>117.61533333333333</v>
      </c>
      <c r="O37" s="3">
        <f t="shared" si="7"/>
        <v>1.142308194727824</v>
      </c>
      <c r="P37" s="3">
        <f t="shared" si="8"/>
        <v>0.5689403038762928</v>
      </c>
      <c r="Q37" s="15">
        <v>22.315015227843027</v>
      </c>
      <c r="R37" s="15">
        <v>62.536412741586354</v>
      </c>
      <c r="S37" s="15">
        <v>15.148572030570609</v>
      </c>
      <c r="T37" s="15">
        <f t="shared" si="3"/>
        <v>77.684984772156966</v>
      </c>
      <c r="U37" s="3">
        <v>370.74148296593182</v>
      </c>
      <c r="V37" s="3">
        <v>4.2511429730654067</v>
      </c>
      <c r="W37" s="12">
        <v>32.92</v>
      </c>
      <c r="X37" s="13">
        <v>413.2</v>
      </c>
      <c r="Y37" s="13">
        <v>169.7</v>
      </c>
      <c r="Z37" s="13">
        <v>1992</v>
      </c>
    </row>
    <row r="38" spans="1:26" x14ac:dyDescent="0.55000000000000004">
      <c r="A38" s="2">
        <v>37</v>
      </c>
      <c r="C38" s="2" t="s">
        <v>59</v>
      </c>
      <c r="D38" s="2">
        <v>19</v>
      </c>
      <c r="E38" s="4">
        <v>1</v>
      </c>
      <c r="F38" s="7">
        <v>-91.353269999999995</v>
      </c>
      <c r="G38" s="7">
        <v>42.807687999999999</v>
      </c>
      <c r="H38" s="2" t="s">
        <v>22</v>
      </c>
      <c r="I38" s="2">
        <v>6</v>
      </c>
      <c r="J38" s="2">
        <v>105</v>
      </c>
      <c r="K38" s="3">
        <f t="shared" si="6"/>
        <v>102.96287278352</v>
      </c>
      <c r="L38" s="3">
        <v>94.614666666666665</v>
      </c>
      <c r="M38" s="3">
        <v>222.71</v>
      </c>
      <c r="N38" s="3">
        <f t="shared" si="5"/>
        <v>128.09533333333334</v>
      </c>
      <c r="O38" s="3">
        <f t="shared" si="7"/>
        <v>1.2440924565367799</v>
      </c>
      <c r="P38" s="3">
        <f t="shared" si="8"/>
        <v>0.53053114847668681</v>
      </c>
      <c r="Q38" s="15">
        <v>16.113501935585301</v>
      </c>
      <c r="R38" s="15">
        <v>64.005398023148402</v>
      </c>
      <c r="S38" s="15">
        <v>19.881100041266283</v>
      </c>
      <c r="T38" s="15">
        <f t="shared" si="3"/>
        <v>83.886498064414681</v>
      </c>
      <c r="U38" s="3">
        <v>582.16432865731463</v>
      </c>
      <c r="V38" s="3">
        <v>11.336381261507752</v>
      </c>
      <c r="W38" s="12">
        <v>64.930000000000007</v>
      </c>
      <c r="X38" s="13">
        <v>142.6</v>
      </c>
      <c r="Y38" s="13">
        <v>308.60000000000002</v>
      </c>
      <c r="Z38" s="13">
        <v>3777</v>
      </c>
    </row>
    <row r="39" spans="1:26" x14ac:dyDescent="0.55000000000000004">
      <c r="A39" s="2">
        <v>38</v>
      </c>
      <c r="C39" s="2" t="s">
        <v>60</v>
      </c>
      <c r="D39" s="2">
        <v>19</v>
      </c>
      <c r="E39" s="4">
        <v>2</v>
      </c>
      <c r="F39" s="7">
        <v>-91.353269999999995</v>
      </c>
      <c r="G39" s="7">
        <v>42.807687999999999</v>
      </c>
      <c r="H39" s="2" t="s">
        <v>24</v>
      </c>
      <c r="I39" s="2">
        <v>6</v>
      </c>
      <c r="J39" s="2">
        <v>105</v>
      </c>
      <c r="K39" s="3">
        <f t="shared" si="6"/>
        <v>102.96287278352</v>
      </c>
      <c r="L39" s="3">
        <v>94.614666666666665</v>
      </c>
      <c r="M39" s="3">
        <v>225.21</v>
      </c>
      <c r="N39" s="3">
        <f t="shared" si="5"/>
        <v>130.59533333333334</v>
      </c>
      <c r="O39" s="3">
        <f t="shared" si="7"/>
        <v>1.2683730533423514</v>
      </c>
      <c r="P39" s="3">
        <f t="shared" si="8"/>
        <v>0.52136865911609376</v>
      </c>
      <c r="Q39" s="15">
        <v>29.817295980511595</v>
      </c>
      <c r="R39" s="15">
        <v>54.391595615103519</v>
      </c>
      <c r="S39" s="15">
        <v>15.791108404384889</v>
      </c>
      <c r="T39" s="15">
        <f t="shared" si="3"/>
        <v>70.182704019488412</v>
      </c>
      <c r="U39" s="3">
        <v>506.01202404809624</v>
      </c>
      <c r="V39" s="3">
        <v>11.336381261507793</v>
      </c>
      <c r="W39" s="12">
        <v>62.74</v>
      </c>
      <c r="X39" s="13">
        <v>67.2</v>
      </c>
      <c r="Y39" s="13">
        <v>417.7</v>
      </c>
      <c r="Z39" s="13">
        <v>4425</v>
      </c>
    </row>
    <row r="40" spans="1:26" x14ac:dyDescent="0.55000000000000004">
      <c r="A40" s="2">
        <v>39</v>
      </c>
      <c r="C40" s="2" t="s">
        <v>61</v>
      </c>
      <c r="D40" s="2">
        <v>20</v>
      </c>
      <c r="E40" s="4">
        <v>1</v>
      </c>
      <c r="F40" s="7">
        <v>-91.372921000000005</v>
      </c>
      <c r="G40" s="7">
        <v>42.946635000000001</v>
      </c>
      <c r="H40" s="2" t="s">
        <v>22</v>
      </c>
      <c r="I40" s="2">
        <v>3</v>
      </c>
      <c r="J40" s="2">
        <v>105</v>
      </c>
      <c r="K40" s="3">
        <f t="shared" si="6"/>
        <v>102.96287278352</v>
      </c>
      <c r="L40" s="3">
        <v>94.614666666666665</v>
      </c>
      <c r="M40" s="3">
        <v>211.46</v>
      </c>
      <c r="N40" s="3">
        <f t="shared" si="5"/>
        <v>116.84533333333334</v>
      </c>
      <c r="O40" s="3">
        <f t="shared" si="7"/>
        <v>1.1348297709117081</v>
      </c>
      <c r="P40" s="3">
        <f t="shared" si="8"/>
        <v>0.57176235059935543</v>
      </c>
      <c r="Q40" s="15">
        <v>8.323948489448151</v>
      </c>
      <c r="R40" s="15">
        <v>79.941516917201213</v>
      </c>
      <c r="S40" s="15">
        <v>11.734534593350638</v>
      </c>
      <c r="T40" s="15">
        <f t="shared" si="3"/>
        <v>91.676051510551844</v>
      </c>
      <c r="U40" s="10"/>
      <c r="V40" s="10">
        <v>836.05811803619849</v>
      </c>
      <c r="W40" s="12">
        <v>37.950000000000003</v>
      </c>
      <c r="X40" s="13">
        <v>509.9</v>
      </c>
      <c r="Y40" s="13">
        <v>260.60000000000002</v>
      </c>
      <c r="Z40" s="13">
        <v>3513</v>
      </c>
    </row>
    <row r="41" spans="1:26" x14ac:dyDescent="0.55000000000000004">
      <c r="A41" s="2">
        <v>40</v>
      </c>
      <c r="C41" s="2" t="s">
        <v>62</v>
      </c>
      <c r="D41" s="2">
        <v>20</v>
      </c>
      <c r="E41" s="4">
        <v>2</v>
      </c>
      <c r="F41" s="7">
        <v>-91.372921000000005</v>
      </c>
      <c r="G41" s="7">
        <v>42.946635000000001</v>
      </c>
      <c r="H41" s="2" t="s">
        <v>24</v>
      </c>
      <c r="I41" s="2">
        <v>3</v>
      </c>
      <c r="J41" s="2">
        <v>105</v>
      </c>
      <c r="K41" s="3">
        <f t="shared" si="6"/>
        <v>102.96287278352</v>
      </c>
      <c r="L41" s="3">
        <v>94.614666666666665</v>
      </c>
      <c r="M41" s="3">
        <v>208.86</v>
      </c>
      <c r="N41" s="3">
        <f t="shared" si="5"/>
        <v>114.24533333333335</v>
      </c>
      <c r="O41" s="3">
        <f t="shared" si="7"/>
        <v>1.1095779502339138</v>
      </c>
      <c r="P41" s="3">
        <f t="shared" si="8"/>
        <v>0.58129133953437218</v>
      </c>
      <c r="Q41" s="15">
        <v>12.813294764021824</v>
      </c>
      <c r="R41" s="15">
        <v>77.857727775728506</v>
      </c>
      <c r="S41" s="15">
        <v>9.3289774602496642</v>
      </c>
      <c r="T41" s="15">
        <f t="shared" si="3"/>
        <v>87.186705235978167</v>
      </c>
      <c r="U41" s="3">
        <v>672.84569138276561</v>
      </c>
      <c r="V41" s="3">
        <v>2.1255714865327238</v>
      </c>
      <c r="W41" s="12">
        <v>52.21</v>
      </c>
      <c r="X41" s="13">
        <v>452.9</v>
      </c>
      <c r="Y41" s="13">
        <v>445.8</v>
      </c>
      <c r="Z41" s="13">
        <v>3370</v>
      </c>
    </row>
    <row r="42" spans="1:26" x14ac:dyDescent="0.55000000000000004">
      <c r="A42" s="2">
        <v>41</v>
      </c>
      <c r="C42" s="2" t="s">
        <v>63</v>
      </c>
      <c r="D42" s="2">
        <v>21</v>
      </c>
      <c r="E42" s="4">
        <v>1</v>
      </c>
      <c r="F42" s="7">
        <v>-91.670503999999994</v>
      </c>
      <c r="G42" s="7">
        <v>43.317419000000001</v>
      </c>
      <c r="H42" s="2" t="s">
        <v>22</v>
      </c>
      <c r="I42" s="2">
        <v>5</v>
      </c>
      <c r="J42" s="2">
        <v>105</v>
      </c>
      <c r="K42" s="3">
        <f t="shared" si="6"/>
        <v>102.96287278352</v>
      </c>
      <c r="L42" s="3">
        <v>94.614666666666665</v>
      </c>
      <c r="M42" s="3">
        <v>226.95</v>
      </c>
      <c r="N42" s="3">
        <f t="shared" si="5"/>
        <v>132.33533333333332</v>
      </c>
      <c r="O42" s="3">
        <f t="shared" si="7"/>
        <v>1.285272348719029</v>
      </c>
      <c r="P42" s="3">
        <f t="shared" si="8"/>
        <v>0.5149915665211211</v>
      </c>
      <c r="Q42" s="15">
        <v>41.607926065162907</v>
      </c>
      <c r="R42" s="15">
        <v>49.691654918546362</v>
      </c>
      <c r="S42" s="15">
        <v>8.7004190162907271</v>
      </c>
      <c r="T42" s="15">
        <f t="shared" si="3"/>
        <v>58.392073934837086</v>
      </c>
      <c r="U42" s="3">
        <v>391</v>
      </c>
      <c r="V42" s="3">
        <v>32.000000000000028</v>
      </c>
      <c r="W42" s="12">
        <v>31.24</v>
      </c>
      <c r="X42" s="13">
        <v>102.6</v>
      </c>
      <c r="Y42" s="13">
        <v>180</v>
      </c>
      <c r="Z42" s="13">
        <v>4081</v>
      </c>
    </row>
    <row r="43" spans="1:26" x14ac:dyDescent="0.55000000000000004">
      <c r="A43" s="2">
        <v>42</v>
      </c>
      <c r="C43" s="2" t="s">
        <v>64</v>
      </c>
      <c r="D43" s="2">
        <v>21</v>
      </c>
      <c r="E43" s="4">
        <v>2</v>
      </c>
      <c r="F43" s="7">
        <v>-91.670503999999994</v>
      </c>
      <c r="G43" s="7">
        <v>43.317419000000001</v>
      </c>
      <c r="H43" s="2" t="s">
        <v>24</v>
      </c>
      <c r="I43" s="2">
        <v>5</v>
      </c>
      <c r="J43" s="2">
        <v>105</v>
      </c>
      <c r="K43" s="3">
        <f t="shared" si="6"/>
        <v>102.96287278352</v>
      </c>
      <c r="L43" s="3">
        <v>94.614666666666665</v>
      </c>
      <c r="M43" s="3">
        <v>210.83</v>
      </c>
      <c r="N43" s="3">
        <f t="shared" si="5"/>
        <v>116.21533333333335</v>
      </c>
      <c r="O43" s="3">
        <f t="shared" si="7"/>
        <v>1.1287110605167041</v>
      </c>
      <c r="P43" s="3">
        <f t="shared" si="8"/>
        <v>0.57407129791822487</v>
      </c>
      <c r="Q43" s="15">
        <v>33.03256484711477</v>
      </c>
      <c r="R43" s="15">
        <v>56.520515269035144</v>
      </c>
      <c r="S43" s="15">
        <v>10.446919883850095</v>
      </c>
      <c r="T43" s="15">
        <f t="shared" si="3"/>
        <v>66.967435152885244</v>
      </c>
      <c r="U43" s="3">
        <v>822</v>
      </c>
      <c r="V43" s="3">
        <v>22</v>
      </c>
      <c r="W43" s="12">
        <v>40.229999999999997</v>
      </c>
      <c r="X43" s="13">
        <v>488.1</v>
      </c>
      <c r="Y43" s="13">
        <v>314.10000000000002</v>
      </c>
      <c r="Z43" s="13">
        <v>3506</v>
      </c>
    </row>
    <row r="44" spans="1:26" x14ac:dyDescent="0.55000000000000004">
      <c r="A44" s="2">
        <v>43</v>
      </c>
      <c r="C44" s="2" t="s">
        <v>65</v>
      </c>
      <c r="D44" s="2">
        <v>22</v>
      </c>
      <c r="E44" s="4">
        <v>1</v>
      </c>
      <c r="F44" s="7">
        <v>-91.890742000000003</v>
      </c>
      <c r="G44" s="7">
        <v>43.407440999999999</v>
      </c>
      <c r="H44" s="2" t="s">
        <v>23</v>
      </c>
      <c r="I44" s="2">
        <v>4</v>
      </c>
      <c r="J44" s="2">
        <v>105</v>
      </c>
      <c r="K44" s="3">
        <f t="shared" si="6"/>
        <v>102.96287278352</v>
      </c>
      <c r="L44" s="3">
        <v>94.614666666666665</v>
      </c>
      <c r="M44" s="3">
        <v>203.26</v>
      </c>
      <c r="N44" s="3">
        <f t="shared" si="5"/>
        <v>108.64533333333333</v>
      </c>
      <c r="O44" s="3">
        <f t="shared" si="7"/>
        <v>1.0551894133894335</v>
      </c>
      <c r="P44" s="3">
        <f t="shared" si="8"/>
        <v>0.60181531570210056</v>
      </c>
      <c r="Q44" s="15">
        <v>83.669220042407673</v>
      </c>
      <c r="R44" s="15">
        <v>7.7081281399835788</v>
      </c>
      <c r="S44" s="15">
        <v>8.6226518176087481</v>
      </c>
      <c r="T44" s="15">
        <f t="shared" si="3"/>
        <v>16.330779957592327</v>
      </c>
      <c r="U44" s="3">
        <v>213.5</v>
      </c>
      <c r="V44" s="3">
        <v>6.5000000000000284</v>
      </c>
      <c r="W44" s="12">
        <v>17.489999999999998</v>
      </c>
      <c r="X44" s="13">
        <v>277.2</v>
      </c>
      <c r="Y44" s="13">
        <v>192.9</v>
      </c>
      <c r="Z44" s="13">
        <v>1030</v>
      </c>
    </row>
    <row r="45" spans="1:26" x14ac:dyDescent="0.55000000000000004">
      <c r="A45" s="2">
        <v>44</v>
      </c>
      <c r="C45" s="2" t="s">
        <v>66</v>
      </c>
      <c r="D45" s="2">
        <v>22</v>
      </c>
      <c r="E45" s="4">
        <v>2</v>
      </c>
      <c r="F45" s="7">
        <v>-91.890742000000003</v>
      </c>
      <c r="G45" s="7">
        <v>43.407440999999999</v>
      </c>
      <c r="H45" s="2" t="s">
        <v>22</v>
      </c>
      <c r="I45" s="2">
        <v>4</v>
      </c>
      <c r="J45" s="2">
        <v>105</v>
      </c>
      <c r="K45" s="3">
        <f t="shared" si="6"/>
        <v>102.96287278352</v>
      </c>
      <c r="L45" s="3">
        <v>94.614666666666665</v>
      </c>
      <c r="M45" s="3">
        <v>204.38</v>
      </c>
      <c r="N45" s="3">
        <f t="shared" si="5"/>
        <v>109.76533333333333</v>
      </c>
      <c r="O45" s="3">
        <f t="shared" si="7"/>
        <v>1.0660671207583294</v>
      </c>
      <c r="P45" s="3">
        <f t="shared" si="8"/>
        <v>0.59771052046855488</v>
      </c>
      <c r="Q45" s="15">
        <v>19.155953156782605</v>
      </c>
      <c r="R45" s="15">
        <v>71.627825503090605</v>
      </c>
      <c r="S45" s="15">
        <v>9.2162213401267827</v>
      </c>
      <c r="T45" s="15">
        <f t="shared" si="3"/>
        <v>80.844046843217384</v>
      </c>
      <c r="U45" s="3">
        <v>592</v>
      </c>
      <c r="V45" s="3">
        <v>8</v>
      </c>
      <c r="W45" s="12">
        <v>8.1300000000000008</v>
      </c>
      <c r="X45" s="13">
        <v>453.1</v>
      </c>
      <c r="Y45" s="13">
        <v>217.4</v>
      </c>
      <c r="Z45" s="13">
        <v>3538</v>
      </c>
    </row>
    <row r="46" spans="1:26" x14ac:dyDescent="0.55000000000000004">
      <c r="A46" s="2">
        <v>45</v>
      </c>
      <c r="C46" s="2" t="s">
        <v>67</v>
      </c>
      <c r="D46" s="2">
        <v>22</v>
      </c>
      <c r="E46" s="4">
        <v>3</v>
      </c>
      <c r="F46" s="7">
        <v>-91.890742000000003</v>
      </c>
      <c r="G46" s="7">
        <v>43.407440999999999</v>
      </c>
      <c r="H46" s="2" t="s">
        <v>23</v>
      </c>
      <c r="I46" s="2">
        <v>4</v>
      </c>
      <c r="J46" s="2">
        <v>105</v>
      </c>
      <c r="K46" s="3">
        <f t="shared" si="6"/>
        <v>102.96287278352</v>
      </c>
      <c r="L46" s="3">
        <v>94.614666666666665</v>
      </c>
      <c r="M46" s="3">
        <v>198.25</v>
      </c>
      <c r="N46" s="3">
        <f t="shared" si="5"/>
        <v>103.63533333333334</v>
      </c>
      <c r="O46" s="3">
        <f t="shared" si="7"/>
        <v>1.0065310973910682</v>
      </c>
      <c r="P46" s="3">
        <f t="shared" si="8"/>
        <v>0.62017694438072901</v>
      </c>
      <c r="Q46" s="15">
        <v>8.7239734791206107</v>
      </c>
      <c r="R46" s="15">
        <v>77.219518436663961</v>
      </c>
      <c r="S46" s="15">
        <v>14.05650808421543</v>
      </c>
      <c r="T46" s="15">
        <f t="shared" si="3"/>
        <v>91.276026520879384</v>
      </c>
      <c r="U46" s="3">
        <v>564</v>
      </c>
      <c r="V46" s="3">
        <v>28</v>
      </c>
      <c r="W46" s="12">
        <v>8.8000000000000007</v>
      </c>
      <c r="X46" s="13">
        <v>464.9</v>
      </c>
      <c r="Y46" s="13">
        <v>241.5</v>
      </c>
      <c r="Z46" s="13">
        <v>3401</v>
      </c>
    </row>
    <row r="47" spans="1:26" x14ac:dyDescent="0.55000000000000004">
      <c r="A47" s="2">
        <v>46</v>
      </c>
      <c r="C47" s="2" t="s">
        <v>68</v>
      </c>
      <c r="D47" s="2">
        <v>23</v>
      </c>
      <c r="E47" s="4">
        <v>1</v>
      </c>
      <c r="F47" s="7">
        <v>-92.532882999999998</v>
      </c>
      <c r="G47" s="7">
        <v>43.190773</v>
      </c>
      <c r="H47" s="2" t="s">
        <v>23</v>
      </c>
      <c r="I47" s="2">
        <v>2</v>
      </c>
      <c r="J47" s="2">
        <v>104</v>
      </c>
      <c r="K47" s="3">
        <f t="shared" si="6"/>
        <v>102.96287278352</v>
      </c>
      <c r="L47" s="3">
        <v>94.614666666666665</v>
      </c>
      <c r="M47" s="3">
        <v>195.06</v>
      </c>
      <c r="N47" s="3">
        <f t="shared" si="5"/>
        <v>100.44533333333334</v>
      </c>
      <c r="O47" s="3">
        <f t="shared" si="7"/>
        <v>0.97554905586715901</v>
      </c>
      <c r="P47" s="3">
        <f t="shared" si="8"/>
        <v>0.63186828080484569</v>
      </c>
      <c r="Q47" s="15">
        <v>22.833712275792394</v>
      </c>
      <c r="R47" s="15">
        <v>66.903171456888003</v>
      </c>
      <c r="S47" s="15">
        <v>10.263116267319612</v>
      </c>
      <c r="T47" s="15">
        <f t="shared" si="3"/>
        <v>77.166287724207621</v>
      </c>
      <c r="U47" s="3">
        <v>602</v>
      </c>
      <c r="V47" s="3">
        <v>19</v>
      </c>
      <c r="W47" s="12">
        <v>62.5</v>
      </c>
      <c r="X47" s="13">
        <v>466.9</v>
      </c>
      <c r="Y47" s="13">
        <v>405.5</v>
      </c>
      <c r="Z47" s="13">
        <v>4978</v>
      </c>
    </row>
    <row r="48" spans="1:26" x14ac:dyDescent="0.55000000000000004">
      <c r="A48" s="2">
        <v>47</v>
      </c>
      <c r="C48" s="2" t="s">
        <v>69</v>
      </c>
      <c r="D48" s="2">
        <v>23</v>
      </c>
      <c r="E48" s="4">
        <v>2</v>
      </c>
      <c r="F48" s="7">
        <v>-92.532882999999998</v>
      </c>
      <c r="G48" s="7">
        <v>43.190773</v>
      </c>
      <c r="H48" s="2" t="s">
        <v>23</v>
      </c>
      <c r="I48" s="2">
        <v>2</v>
      </c>
      <c r="J48" s="2">
        <v>104</v>
      </c>
      <c r="K48" s="3">
        <f t="shared" si="6"/>
        <v>102.96287278352</v>
      </c>
      <c r="L48" s="3">
        <v>94.614666666666665</v>
      </c>
      <c r="M48" s="3">
        <v>200.65</v>
      </c>
      <c r="N48" s="3">
        <f t="shared" si="5"/>
        <v>106.03533333333334</v>
      </c>
      <c r="O48" s="3">
        <f t="shared" si="7"/>
        <v>1.0298404703244168</v>
      </c>
      <c r="P48" s="3">
        <f t="shared" si="8"/>
        <v>0.61138095459455966</v>
      </c>
      <c r="Q48" s="15">
        <v>41.383533501896345</v>
      </c>
      <c r="R48" s="15">
        <v>39.038566687737031</v>
      </c>
      <c r="S48" s="15">
        <v>19.577899810366624</v>
      </c>
      <c r="T48" s="15">
        <f t="shared" si="3"/>
        <v>58.616466498103655</v>
      </c>
      <c r="U48" s="3">
        <v>484</v>
      </c>
      <c r="V48" s="3">
        <v>2.0000000000000284</v>
      </c>
      <c r="W48" s="12">
        <v>28.07</v>
      </c>
      <c r="X48" s="13">
        <v>9.1300000000000008</v>
      </c>
      <c r="Y48" s="13">
        <v>144.1</v>
      </c>
      <c r="Z48" s="13">
        <v>6579</v>
      </c>
    </row>
    <row r="49" spans="1:26" x14ac:dyDescent="0.55000000000000004">
      <c r="A49" s="2">
        <v>48</v>
      </c>
      <c r="C49" s="2" t="s">
        <v>70</v>
      </c>
      <c r="D49" s="2">
        <v>24</v>
      </c>
      <c r="E49" s="4">
        <v>1</v>
      </c>
      <c r="F49" s="7">
        <v>-92.705173000000002</v>
      </c>
      <c r="G49" s="7">
        <v>43.115105999999997</v>
      </c>
      <c r="H49" s="2" t="s">
        <v>22</v>
      </c>
      <c r="I49" s="2">
        <v>5</v>
      </c>
      <c r="J49" s="2">
        <v>104</v>
      </c>
      <c r="K49" s="3">
        <f t="shared" si="6"/>
        <v>102.96287278352</v>
      </c>
      <c r="L49" s="3">
        <v>94.614666666666665</v>
      </c>
      <c r="M49" s="3">
        <v>210.46</v>
      </c>
      <c r="N49" s="3">
        <f t="shared" si="5"/>
        <v>115.84533333333334</v>
      </c>
      <c r="O49" s="3">
        <f t="shared" si="7"/>
        <v>1.1251175321894795</v>
      </c>
      <c r="P49" s="3">
        <f t="shared" si="8"/>
        <v>0.57542734634359261</v>
      </c>
      <c r="Q49" s="15">
        <v>55.168609061444087</v>
      </c>
      <c r="R49" s="15">
        <v>30.126694710709572</v>
      </c>
      <c r="S49" s="15">
        <v>14.704696227846339</v>
      </c>
      <c r="T49" s="15">
        <f t="shared" si="3"/>
        <v>44.831390938555913</v>
      </c>
      <c r="U49" s="3">
        <v>455.5</v>
      </c>
      <c r="V49" s="3">
        <v>24.500000000000028</v>
      </c>
      <c r="W49" s="12">
        <v>44.33</v>
      </c>
      <c r="X49" s="13">
        <v>50.93</v>
      </c>
      <c r="Y49" s="13">
        <v>160.4</v>
      </c>
      <c r="Z49" s="13">
        <v>7418</v>
      </c>
    </row>
    <row r="50" spans="1:26" x14ac:dyDescent="0.55000000000000004">
      <c r="A50" s="2">
        <v>49</v>
      </c>
      <c r="C50" s="2" t="s">
        <v>71</v>
      </c>
      <c r="D50" s="2">
        <v>24</v>
      </c>
      <c r="E50" s="4">
        <v>2</v>
      </c>
      <c r="F50" s="7">
        <v>-92.705173000000002</v>
      </c>
      <c r="G50" s="7">
        <v>43.115105999999997</v>
      </c>
      <c r="H50" s="2" t="s">
        <v>23</v>
      </c>
      <c r="I50" s="2">
        <v>5</v>
      </c>
      <c r="J50" s="2">
        <v>104</v>
      </c>
      <c r="K50" s="3">
        <f t="shared" si="6"/>
        <v>102.96287278352</v>
      </c>
      <c r="L50" s="3">
        <v>94.614666666666665</v>
      </c>
      <c r="M50" s="3">
        <v>202</v>
      </c>
      <c r="N50" s="3">
        <f t="shared" si="5"/>
        <v>107.38533333333334</v>
      </c>
      <c r="O50" s="3">
        <f t="shared" si="7"/>
        <v>1.0429519925994255</v>
      </c>
      <c r="P50" s="3">
        <f t="shared" si="8"/>
        <v>0.60643321033983943</v>
      </c>
      <c r="Q50" s="15">
        <v>37.34836465405953</v>
      </c>
      <c r="R50" s="15">
        <v>53.62979985612504</v>
      </c>
      <c r="S50" s="15">
        <v>9.0218354898154285</v>
      </c>
      <c r="T50" s="15">
        <f t="shared" si="3"/>
        <v>62.65163534594047</v>
      </c>
      <c r="U50" s="3">
        <v>569.5</v>
      </c>
      <c r="V50" s="3">
        <v>33.5</v>
      </c>
      <c r="W50" s="12">
        <v>22.16</v>
      </c>
      <c r="X50" s="13">
        <v>463</v>
      </c>
      <c r="Y50" s="13">
        <v>209.6</v>
      </c>
      <c r="Z50" s="13">
        <v>4191</v>
      </c>
    </row>
    <row r="51" spans="1:26" x14ac:dyDescent="0.55000000000000004">
      <c r="A51" s="2">
        <v>50</v>
      </c>
      <c r="C51" s="2" t="s">
        <v>72</v>
      </c>
      <c r="D51" s="2">
        <v>25</v>
      </c>
      <c r="E51" s="4">
        <v>1</v>
      </c>
      <c r="F51" s="7">
        <v>-93.053858000000005</v>
      </c>
      <c r="G51" s="7">
        <v>43.17456</v>
      </c>
      <c r="H51" s="2" t="s">
        <v>23</v>
      </c>
      <c r="I51" s="2">
        <v>1</v>
      </c>
      <c r="J51" s="2">
        <v>104</v>
      </c>
      <c r="K51" s="3">
        <f t="shared" si="6"/>
        <v>102.96287278352</v>
      </c>
      <c r="L51" s="3">
        <v>94.614666666666665</v>
      </c>
      <c r="M51" s="3">
        <v>207.35</v>
      </c>
      <c r="N51" s="3">
        <f t="shared" si="5"/>
        <v>112.73533333333333</v>
      </c>
      <c r="O51" s="3">
        <f t="shared" si="7"/>
        <v>1.0949124697633483</v>
      </c>
      <c r="P51" s="3">
        <f t="shared" si="8"/>
        <v>0.58682548310817051</v>
      </c>
      <c r="Q51" s="15">
        <v>32.747870896681924</v>
      </c>
      <c r="R51" s="15">
        <v>56.22277993037391</v>
      </c>
      <c r="S51" s="15">
        <v>11.029349172944164</v>
      </c>
      <c r="T51" s="15">
        <f t="shared" si="3"/>
        <v>67.252129103318069</v>
      </c>
      <c r="U51" s="3">
        <v>1569.5</v>
      </c>
      <c r="V51" s="3">
        <v>21.5</v>
      </c>
      <c r="W51" s="12">
        <v>78.209999999999994</v>
      </c>
      <c r="X51" s="13">
        <v>378.5</v>
      </c>
      <c r="Y51" s="13">
        <v>459.6</v>
      </c>
      <c r="Z51" s="13">
        <v>4672</v>
      </c>
    </row>
    <row r="52" spans="1:26" x14ac:dyDescent="0.55000000000000004">
      <c r="A52" s="2">
        <v>51</v>
      </c>
      <c r="C52" s="2" t="s">
        <v>73</v>
      </c>
      <c r="D52" s="2">
        <v>26</v>
      </c>
      <c r="E52" s="4">
        <v>1</v>
      </c>
      <c r="F52" s="7">
        <v>-92.665450000000007</v>
      </c>
      <c r="G52" s="7">
        <v>42.764274999999998</v>
      </c>
      <c r="H52" s="2" t="s">
        <v>22</v>
      </c>
      <c r="I52" s="2">
        <v>6</v>
      </c>
      <c r="J52" s="2">
        <v>104</v>
      </c>
      <c r="K52" s="3">
        <f t="shared" si="6"/>
        <v>102.96287278352</v>
      </c>
      <c r="L52" s="3">
        <v>94.614666666666665</v>
      </c>
      <c r="M52" s="3">
        <v>230.08</v>
      </c>
      <c r="N52" s="3">
        <f t="shared" si="5"/>
        <v>135.46533333333335</v>
      </c>
      <c r="O52" s="3">
        <f t="shared" si="7"/>
        <v>1.3156716559196047</v>
      </c>
      <c r="P52" s="3">
        <f t="shared" si="8"/>
        <v>0.50352012984165861</v>
      </c>
      <c r="Q52" s="15">
        <v>54.883251881157399</v>
      </c>
      <c r="R52" s="15">
        <v>28.288201070514312</v>
      </c>
      <c r="S52" s="15">
        <v>16.828547048328289</v>
      </c>
      <c r="T52" s="15">
        <f t="shared" si="3"/>
        <v>45.116748118842601</v>
      </c>
      <c r="U52" s="3">
        <v>554.5</v>
      </c>
      <c r="V52" s="3">
        <v>40.5</v>
      </c>
      <c r="W52" s="12">
        <v>22.89</v>
      </c>
      <c r="X52" s="13">
        <v>405.2</v>
      </c>
      <c r="Y52" s="13">
        <v>186.1</v>
      </c>
      <c r="Z52" s="13">
        <v>2121</v>
      </c>
    </row>
    <row r="53" spans="1:26" x14ac:dyDescent="0.55000000000000004">
      <c r="A53" s="2">
        <v>52</v>
      </c>
      <c r="C53" s="2" t="s">
        <v>74</v>
      </c>
      <c r="D53" s="2">
        <v>26</v>
      </c>
      <c r="E53" s="4">
        <v>2</v>
      </c>
      <c r="F53" s="7">
        <v>-92.665450000000007</v>
      </c>
      <c r="G53" s="7">
        <v>42.764274999999998</v>
      </c>
      <c r="H53" s="2" t="s">
        <v>23</v>
      </c>
      <c r="I53" s="2">
        <v>6</v>
      </c>
      <c r="J53" s="2">
        <v>104</v>
      </c>
      <c r="K53" s="3">
        <f t="shared" si="6"/>
        <v>102.96287278352</v>
      </c>
      <c r="L53" s="3">
        <v>94.614666666666665</v>
      </c>
      <c r="M53" s="3">
        <v>236.42</v>
      </c>
      <c r="N53" s="3">
        <f t="shared" si="5"/>
        <v>141.80533333333332</v>
      </c>
      <c r="O53" s="3">
        <f t="shared" si="7"/>
        <v>1.3772472494185337</v>
      </c>
      <c r="P53" s="3">
        <f t="shared" si="8"/>
        <v>0.48028405682319486</v>
      </c>
      <c r="Q53" s="15">
        <v>81.17102997233026</v>
      </c>
      <c r="R53" s="15">
        <v>13.312081809562503</v>
      </c>
      <c r="S53" s="15">
        <v>5.5168882181072325</v>
      </c>
      <c r="T53" s="15">
        <f t="shared" si="3"/>
        <v>18.828970027669737</v>
      </c>
      <c r="U53" s="3">
        <v>137</v>
      </c>
      <c r="V53" s="3">
        <v>0</v>
      </c>
      <c r="W53" s="12">
        <v>12.11</v>
      </c>
      <c r="X53" s="13">
        <v>307.7</v>
      </c>
      <c r="Y53" s="13">
        <v>156.9</v>
      </c>
      <c r="Z53" s="13">
        <v>1367</v>
      </c>
    </row>
    <row r="54" spans="1:26" x14ac:dyDescent="0.55000000000000004">
      <c r="A54" s="2">
        <v>53</v>
      </c>
      <c r="C54" s="2" t="s">
        <v>75</v>
      </c>
      <c r="D54" s="2">
        <v>26</v>
      </c>
      <c r="E54" s="4">
        <v>3</v>
      </c>
      <c r="F54" s="7">
        <v>-92.665450000000007</v>
      </c>
      <c r="G54" s="7">
        <v>42.764274999999998</v>
      </c>
      <c r="H54" s="2" t="s">
        <v>24</v>
      </c>
      <c r="I54" s="2">
        <v>6</v>
      </c>
      <c r="J54" s="2">
        <v>104</v>
      </c>
      <c r="K54" s="3">
        <f t="shared" si="6"/>
        <v>102.96287278352</v>
      </c>
      <c r="L54" s="3">
        <v>94.614666666666665</v>
      </c>
      <c r="M54" s="3">
        <v>231.51</v>
      </c>
      <c r="N54" s="3">
        <f t="shared" si="5"/>
        <v>136.89533333333333</v>
      </c>
      <c r="O54" s="3">
        <f t="shared" si="7"/>
        <v>1.3295601572923914</v>
      </c>
      <c r="P54" s="3">
        <f t="shared" si="8"/>
        <v>0.4982791859273995</v>
      </c>
      <c r="Q54" s="15">
        <v>61.962134251290848</v>
      </c>
      <c r="R54" s="15">
        <v>28.946815834767666</v>
      </c>
      <c r="S54" s="15">
        <v>9.091049913941486</v>
      </c>
      <c r="T54" s="15">
        <f t="shared" si="3"/>
        <v>38.037865748709152</v>
      </c>
      <c r="U54" s="3">
        <v>351</v>
      </c>
      <c r="V54" s="3">
        <v>6</v>
      </c>
      <c r="W54" s="12">
        <v>27.91</v>
      </c>
      <c r="X54" s="13">
        <v>347.9</v>
      </c>
      <c r="Y54" s="13">
        <v>239.7</v>
      </c>
      <c r="Z54" s="13">
        <v>1876</v>
      </c>
    </row>
    <row r="55" spans="1:26" x14ac:dyDescent="0.55000000000000004">
      <c r="A55" s="2">
        <v>54</v>
      </c>
      <c r="C55" s="2" t="s">
        <v>76</v>
      </c>
      <c r="D55" s="2">
        <v>27</v>
      </c>
      <c r="E55" s="4">
        <v>1</v>
      </c>
      <c r="F55" s="7">
        <v>-92.227207000000007</v>
      </c>
      <c r="G55" s="7">
        <v>42.847932</v>
      </c>
      <c r="H55" s="2" t="s">
        <v>23</v>
      </c>
      <c r="I55" s="2">
        <v>4</v>
      </c>
      <c r="J55" s="2">
        <v>104</v>
      </c>
      <c r="K55" s="3">
        <f t="shared" si="6"/>
        <v>102.96287278352</v>
      </c>
      <c r="L55" s="3">
        <v>94.614666666666665</v>
      </c>
      <c r="M55" s="3">
        <v>224.47</v>
      </c>
      <c r="N55" s="3">
        <f t="shared" si="5"/>
        <v>129.85533333333333</v>
      </c>
      <c r="O55" s="3">
        <f t="shared" si="7"/>
        <v>1.261185996687902</v>
      </c>
      <c r="P55" s="3">
        <f t="shared" si="8"/>
        <v>0.52408075596682946</v>
      </c>
      <c r="Q55" s="15">
        <v>32.509944507194412</v>
      </c>
      <c r="R55" s="15">
        <v>57.36654716888475</v>
      </c>
      <c r="S55" s="15">
        <v>10.123508323920838</v>
      </c>
      <c r="T55" s="15">
        <f t="shared" si="3"/>
        <v>67.490055492805595</v>
      </c>
      <c r="U55" s="3">
        <v>314</v>
      </c>
      <c r="V55" s="3">
        <v>14</v>
      </c>
      <c r="W55" s="12">
        <v>41.55</v>
      </c>
      <c r="X55" s="13">
        <v>324</v>
      </c>
      <c r="Y55" s="13">
        <v>430</v>
      </c>
      <c r="Z55" s="13">
        <v>2247</v>
      </c>
    </row>
    <row r="56" spans="1:26" x14ac:dyDescent="0.55000000000000004">
      <c r="A56" s="2">
        <v>55</v>
      </c>
      <c r="C56" s="2" t="s">
        <v>77</v>
      </c>
      <c r="D56" s="2">
        <v>27</v>
      </c>
      <c r="E56" s="4">
        <v>2</v>
      </c>
      <c r="F56" s="7">
        <v>-92.227207000000007</v>
      </c>
      <c r="G56" s="7">
        <v>42.847932</v>
      </c>
      <c r="H56" s="2" t="s">
        <v>23</v>
      </c>
      <c r="I56" s="2">
        <v>4</v>
      </c>
      <c r="J56" s="2">
        <v>104</v>
      </c>
      <c r="K56" s="3">
        <f t="shared" si="6"/>
        <v>102.96287278352</v>
      </c>
      <c r="L56" s="3">
        <v>94.614666666666665</v>
      </c>
      <c r="M56" s="3">
        <v>204.53</v>
      </c>
      <c r="N56" s="3">
        <f t="shared" si="5"/>
        <v>109.91533333333334</v>
      </c>
      <c r="O56" s="3">
        <f t="shared" si="7"/>
        <v>1.0675239565666639</v>
      </c>
      <c r="P56" s="3">
        <f t="shared" si="8"/>
        <v>0.59716077110691934</v>
      </c>
      <c r="Q56" s="15">
        <v>47.930240340137402</v>
      </c>
      <c r="R56" s="15">
        <v>40.301993976733655</v>
      </c>
      <c r="S56" s="15">
        <v>11.767765683128948</v>
      </c>
      <c r="T56" s="15">
        <f t="shared" si="3"/>
        <v>52.069759659862605</v>
      </c>
      <c r="U56" s="3">
        <v>728.5</v>
      </c>
      <c r="V56" s="3">
        <v>38.5</v>
      </c>
      <c r="W56" s="12">
        <v>21.42</v>
      </c>
      <c r="X56" s="13">
        <v>291.2</v>
      </c>
      <c r="Y56" s="13">
        <v>658.2</v>
      </c>
      <c r="Z56" s="13">
        <v>2909</v>
      </c>
    </row>
    <row r="57" spans="1:26" x14ac:dyDescent="0.55000000000000004">
      <c r="A57" s="2">
        <v>56</v>
      </c>
      <c r="C57" s="2" t="s">
        <v>78</v>
      </c>
      <c r="D57" s="2">
        <v>28</v>
      </c>
      <c r="E57" s="4">
        <v>1</v>
      </c>
      <c r="F57" s="7">
        <v>-91.907365999999996</v>
      </c>
      <c r="G57" s="7">
        <v>42.622306999999999</v>
      </c>
      <c r="H57" s="2" t="s">
        <v>22</v>
      </c>
      <c r="I57" s="2">
        <v>4</v>
      </c>
      <c r="J57" s="2">
        <v>104</v>
      </c>
      <c r="Q57" s="15">
        <v>28.155433420113763</v>
      </c>
      <c r="R57" s="15">
        <v>62.86399575740046</v>
      </c>
      <c r="S57" s="15">
        <v>8.9805708224857792</v>
      </c>
      <c r="T57" s="15">
        <f t="shared" si="3"/>
        <v>71.844566579886234</v>
      </c>
      <c r="U57" s="3">
        <v>371</v>
      </c>
      <c r="V57" s="3">
        <v>17</v>
      </c>
      <c r="W57" s="12">
        <v>26.86</v>
      </c>
      <c r="X57" s="13">
        <v>372.4</v>
      </c>
      <c r="Y57" s="13">
        <v>282.60000000000002</v>
      </c>
      <c r="Z57" s="13">
        <v>4153</v>
      </c>
    </row>
    <row r="58" spans="1:26" x14ac:dyDescent="0.55000000000000004">
      <c r="A58" s="2">
        <v>57</v>
      </c>
      <c r="C58" s="2" t="s">
        <v>79</v>
      </c>
      <c r="D58" s="2">
        <v>28</v>
      </c>
      <c r="E58" s="4">
        <v>2</v>
      </c>
      <c r="F58" s="7">
        <v>-91.907365999999996</v>
      </c>
      <c r="G58" s="7">
        <v>42.622306999999999</v>
      </c>
      <c r="H58" s="2" t="s">
        <v>24</v>
      </c>
      <c r="I58" s="2">
        <v>4</v>
      </c>
      <c r="J58" s="2">
        <v>104</v>
      </c>
      <c r="K58" s="3">
        <f t="shared" si="6"/>
        <v>102.96287278352</v>
      </c>
      <c r="L58" s="3">
        <v>94.614666666666665</v>
      </c>
      <c r="M58" s="3">
        <v>209.59</v>
      </c>
      <c r="N58" s="3">
        <f t="shared" si="5"/>
        <v>114.97533333333334</v>
      </c>
      <c r="O58" s="3">
        <f t="shared" si="7"/>
        <v>1.1166678845011406</v>
      </c>
      <c r="P58" s="3">
        <f t="shared" si="8"/>
        <v>0.57861589264107893</v>
      </c>
      <c r="Q58" s="15">
        <v>22.912940494030074</v>
      </c>
      <c r="R58" s="15">
        <v>65.601087639580385</v>
      </c>
      <c r="S58" s="15">
        <v>11.485971866389519</v>
      </c>
      <c r="T58" s="15">
        <f t="shared" si="3"/>
        <v>77.087059505969904</v>
      </c>
      <c r="U58" s="3">
        <v>337.5</v>
      </c>
      <c r="V58" s="3">
        <v>14.5</v>
      </c>
      <c r="W58" s="12">
        <v>24.61</v>
      </c>
      <c r="X58" s="13">
        <v>184.6</v>
      </c>
      <c r="Y58" s="13">
        <v>392.4</v>
      </c>
      <c r="Z58" s="13">
        <v>4544</v>
      </c>
    </row>
    <row r="59" spans="1:26" x14ac:dyDescent="0.55000000000000004">
      <c r="A59" s="2">
        <v>58</v>
      </c>
      <c r="C59" s="2" t="s">
        <v>80</v>
      </c>
      <c r="D59" s="2">
        <v>29</v>
      </c>
      <c r="E59" s="4">
        <v>1</v>
      </c>
      <c r="F59" s="7">
        <v>-91.378777999999997</v>
      </c>
      <c r="G59" s="7">
        <v>42.402554000000002</v>
      </c>
      <c r="H59" s="2" t="s">
        <v>22</v>
      </c>
      <c r="I59" s="2">
        <v>5</v>
      </c>
      <c r="J59" s="2">
        <v>104</v>
      </c>
      <c r="K59" s="3">
        <f t="shared" si="6"/>
        <v>102.96287278352</v>
      </c>
      <c r="L59" s="3">
        <v>94.614666666666665</v>
      </c>
      <c r="M59" s="3">
        <v>216.6</v>
      </c>
      <c r="N59" s="3">
        <f t="shared" si="5"/>
        <v>121.98533333333333</v>
      </c>
      <c r="O59" s="3">
        <f t="shared" si="7"/>
        <v>1.1847506779439629</v>
      </c>
      <c r="P59" s="3">
        <f t="shared" si="8"/>
        <v>0.55292427247397624</v>
      </c>
      <c r="Q59" s="15">
        <v>34.934497816593876</v>
      </c>
      <c r="R59" s="15">
        <v>55.761135371179058</v>
      </c>
      <c r="S59" s="15">
        <v>9.3043668122270766</v>
      </c>
      <c r="T59" s="15">
        <f t="shared" si="3"/>
        <v>65.065502183406139</v>
      </c>
      <c r="U59" s="3">
        <v>432</v>
      </c>
      <c r="V59" s="3">
        <v>18.000000000000028</v>
      </c>
      <c r="W59" s="12">
        <v>54.14</v>
      </c>
      <c r="X59" s="13">
        <v>374.8</v>
      </c>
      <c r="Y59" s="13">
        <v>267</v>
      </c>
      <c r="Z59" s="13">
        <v>3091</v>
      </c>
    </row>
    <row r="60" spans="1:26" x14ac:dyDescent="0.55000000000000004">
      <c r="A60" s="2">
        <v>59</v>
      </c>
      <c r="C60" s="2" t="s">
        <v>81</v>
      </c>
      <c r="D60" s="2">
        <v>29</v>
      </c>
      <c r="E60" s="4">
        <v>2</v>
      </c>
      <c r="F60" s="7">
        <v>-91.378777999999997</v>
      </c>
      <c r="G60" s="7">
        <v>42.402554000000002</v>
      </c>
      <c r="H60" s="2" t="s">
        <v>23</v>
      </c>
      <c r="I60" s="2">
        <v>5</v>
      </c>
      <c r="J60" s="2">
        <v>104</v>
      </c>
      <c r="K60" s="3">
        <f t="shared" si="6"/>
        <v>102.96287278352</v>
      </c>
      <c r="L60" s="3">
        <v>94.614666666666665</v>
      </c>
      <c r="M60" s="3">
        <v>223.26</v>
      </c>
      <c r="N60" s="3">
        <f t="shared" ref="N60:N91" si="9">M60-L60</f>
        <v>128.64533333333333</v>
      </c>
      <c r="O60" s="3">
        <f t="shared" si="7"/>
        <v>1.2494341878340054</v>
      </c>
      <c r="P60" s="3">
        <f t="shared" si="8"/>
        <v>0.52851540081735648</v>
      </c>
      <c r="Q60" s="15">
        <v>10.226457024297694</v>
      </c>
      <c r="R60" s="15">
        <v>80.61664159218067</v>
      </c>
      <c r="S60" s="15">
        <v>9.1569013835216353</v>
      </c>
      <c r="T60" s="15">
        <f t="shared" si="3"/>
        <v>89.773542975702298</v>
      </c>
      <c r="U60" s="3">
        <v>240</v>
      </c>
      <c r="V60" s="3">
        <v>4</v>
      </c>
      <c r="W60" s="12">
        <v>29.71</v>
      </c>
      <c r="X60" s="13">
        <v>380.2</v>
      </c>
      <c r="Y60" s="13">
        <v>120.8</v>
      </c>
      <c r="Z60" s="13">
        <v>3893</v>
      </c>
    </row>
    <row r="61" spans="1:26" x14ac:dyDescent="0.55000000000000004">
      <c r="A61" s="2">
        <v>60</v>
      </c>
      <c r="C61" s="2" t="s">
        <v>82</v>
      </c>
      <c r="D61" s="2">
        <v>30</v>
      </c>
      <c r="E61" s="4">
        <v>1</v>
      </c>
      <c r="F61" s="7">
        <v>-91.918379999999999</v>
      </c>
      <c r="G61" s="7">
        <v>42.161099</v>
      </c>
      <c r="H61" s="2" t="s">
        <v>23</v>
      </c>
      <c r="I61" s="2">
        <v>2</v>
      </c>
      <c r="J61" s="2">
        <v>104</v>
      </c>
      <c r="K61" s="3">
        <f t="shared" si="6"/>
        <v>102.96287278352</v>
      </c>
      <c r="L61" s="3">
        <v>94.614666666666665</v>
      </c>
      <c r="M61" s="3">
        <v>218.49</v>
      </c>
      <c r="N61" s="3">
        <f t="shared" si="9"/>
        <v>123.87533333333334</v>
      </c>
      <c r="O61" s="3">
        <f t="shared" si="7"/>
        <v>1.2031068091289752</v>
      </c>
      <c r="P61" s="3">
        <f t="shared" si="8"/>
        <v>0.54599743051736782</v>
      </c>
      <c r="Q61" s="15">
        <v>52.007919387724954</v>
      </c>
      <c r="R61" s="15">
        <v>39.785434827576012</v>
      </c>
      <c r="S61" s="15">
        <v>8.2066457846990328</v>
      </c>
      <c r="T61" s="15">
        <f t="shared" si="3"/>
        <v>47.992080612275046</v>
      </c>
      <c r="U61" s="3">
        <v>284</v>
      </c>
      <c r="V61" s="3">
        <v>9</v>
      </c>
      <c r="W61" s="12">
        <v>16.16</v>
      </c>
      <c r="X61" s="13">
        <v>328</v>
      </c>
      <c r="Y61" s="13">
        <v>178.1</v>
      </c>
      <c r="Z61" s="13">
        <v>3074</v>
      </c>
    </row>
    <row r="62" spans="1:26" x14ac:dyDescent="0.55000000000000004">
      <c r="A62" s="2">
        <v>61</v>
      </c>
      <c r="C62" s="2" t="s">
        <v>83</v>
      </c>
      <c r="D62" s="2">
        <v>30</v>
      </c>
      <c r="E62" s="4">
        <v>2</v>
      </c>
      <c r="F62" s="7">
        <v>-91.918379999999999</v>
      </c>
      <c r="G62" s="7">
        <v>42.161099</v>
      </c>
      <c r="H62" s="2" t="s">
        <v>24</v>
      </c>
      <c r="I62" s="2">
        <v>2</v>
      </c>
      <c r="J62" s="2">
        <v>104</v>
      </c>
      <c r="K62" s="3">
        <f t="shared" si="6"/>
        <v>102.96287278352</v>
      </c>
      <c r="L62" s="3">
        <v>94.614666666666665</v>
      </c>
      <c r="M62" s="3">
        <v>226.76</v>
      </c>
      <c r="N62" s="3">
        <f t="shared" si="9"/>
        <v>132.14533333333333</v>
      </c>
      <c r="O62" s="3">
        <f t="shared" si="7"/>
        <v>1.2834270233618055</v>
      </c>
      <c r="P62" s="3">
        <f t="shared" si="8"/>
        <v>0.51568791571252626</v>
      </c>
      <c r="Q62" s="15">
        <v>64.740891275947163</v>
      </c>
      <c r="R62" s="15">
        <v>16.395485556684566</v>
      </c>
      <c r="S62" s="15">
        <v>18.863623167368264</v>
      </c>
      <c r="T62" s="15">
        <f t="shared" si="3"/>
        <v>35.25910872405283</v>
      </c>
      <c r="U62" s="3">
        <v>235.5</v>
      </c>
      <c r="V62" s="3">
        <v>16.5</v>
      </c>
      <c r="W62" s="12">
        <v>30.98</v>
      </c>
      <c r="X62" s="13">
        <v>263</v>
      </c>
      <c r="Y62" s="13">
        <v>525.70000000000005</v>
      </c>
      <c r="Z62" s="13">
        <v>1930</v>
      </c>
    </row>
    <row r="63" spans="1:26" x14ac:dyDescent="0.55000000000000004">
      <c r="A63" s="2">
        <v>62</v>
      </c>
      <c r="C63" s="2" t="s">
        <v>84</v>
      </c>
      <c r="D63" s="2">
        <v>31</v>
      </c>
      <c r="E63" s="4">
        <v>1</v>
      </c>
      <c r="F63" s="7">
        <v>-92.113128000000003</v>
      </c>
      <c r="G63" s="7">
        <v>42.148471999999998</v>
      </c>
      <c r="H63" s="2" t="s">
        <v>22</v>
      </c>
      <c r="I63" s="2">
        <v>3</v>
      </c>
      <c r="J63" s="2">
        <v>104</v>
      </c>
      <c r="K63" s="3">
        <f t="shared" si="6"/>
        <v>102.96287278352</v>
      </c>
      <c r="L63" s="3">
        <v>94.614666666666665</v>
      </c>
      <c r="M63" s="3">
        <v>215.24</v>
      </c>
      <c r="N63" s="3">
        <f t="shared" si="9"/>
        <v>120.62533333333334</v>
      </c>
      <c r="O63" s="3">
        <f t="shared" si="7"/>
        <v>1.1715420332817321</v>
      </c>
      <c r="P63" s="3">
        <f t="shared" si="8"/>
        <v>0.55790866668613881</v>
      </c>
      <c r="Q63" s="15">
        <v>7.5889512653116578</v>
      </c>
      <c r="R63" s="15">
        <v>44.357303392650408</v>
      </c>
      <c r="S63" s="15">
        <v>48.053745342037942</v>
      </c>
      <c r="T63" s="15">
        <f t="shared" si="3"/>
        <v>92.41104873468835</v>
      </c>
      <c r="U63" s="3">
        <v>333.5</v>
      </c>
      <c r="V63" s="3">
        <v>12.5</v>
      </c>
      <c r="W63" s="12">
        <v>26.61</v>
      </c>
      <c r="X63" s="13">
        <v>1049</v>
      </c>
      <c r="Y63" s="13">
        <v>314.7</v>
      </c>
      <c r="Z63" s="13">
        <v>1914</v>
      </c>
    </row>
    <row r="64" spans="1:26" x14ac:dyDescent="0.55000000000000004">
      <c r="A64" s="2">
        <v>63</v>
      </c>
      <c r="C64" s="2" t="s">
        <v>85</v>
      </c>
      <c r="D64" s="2">
        <v>31</v>
      </c>
      <c r="E64" s="4">
        <v>2</v>
      </c>
      <c r="F64" s="7">
        <v>-92.113128000000003</v>
      </c>
      <c r="G64" s="7">
        <v>42.148471999999998</v>
      </c>
      <c r="H64" s="2" t="s">
        <v>23</v>
      </c>
      <c r="I64" s="2">
        <v>3</v>
      </c>
      <c r="J64" s="2">
        <v>104</v>
      </c>
      <c r="K64" s="3">
        <f t="shared" si="6"/>
        <v>102.96287278352</v>
      </c>
      <c r="L64" s="3">
        <v>94.614666666666665</v>
      </c>
      <c r="M64" s="3">
        <v>223.38</v>
      </c>
      <c r="N64" s="3">
        <f t="shared" si="9"/>
        <v>128.76533333333333</v>
      </c>
      <c r="O64" s="3">
        <f t="shared" si="7"/>
        <v>1.2505996564806729</v>
      </c>
      <c r="P64" s="3">
        <f t="shared" si="8"/>
        <v>0.52807560132804787</v>
      </c>
      <c r="Q64" s="15">
        <v>7.5245270641803685</v>
      </c>
      <c r="R64" s="15">
        <v>84.522582263339146</v>
      </c>
      <c r="S64" s="15">
        <v>7.9528906724804882</v>
      </c>
      <c r="T64" s="15">
        <f t="shared" si="3"/>
        <v>92.475472935819639</v>
      </c>
      <c r="U64" s="3">
        <v>454</v>
      </c>
      <c r="V64" s="3">
        <v>15.000000000000057</v>
      </c>
      <c r="W64" s="12">
        <v>66.760000000000005</v>
      </c>
      <c r="X64" s="13">
        <v>492.6</v>
      </c>
      <c r="Y64" s="13">
        <v>202.5</v>
      </c>
      <c r="Z64" s="13">
        <v>3535</v>
      </c>
    </row>
    <row r="65" spans="1:26" x14ac:dyDescent="0.55000000000000004">
      <c r="A65" s="2">
        <v>64</v>
      </c>
      <c r="C65" s="2" t="s">
        <v>86</v>
      </c>
      <c r="D65" s="2">
        <v>31</v>
      </c>
      <c r="E65" s="4">
        <v>3</v>
      </c>
      <c r="F65" s="7">
        <v>-92.113128000000003</v>
      </c>
      <c r="G65" s="7">
        <v>42.148471999999998</v>
      </c>
      <c r="H65" s="2" t="s">
        <v>24</v>
      </c>
      <c r="I65" s="2">
        <v>3</v>
      </c>
      <c r="J65" s="2">
        <v>104</v>
      </c>
      <c r="K65" s="3">
        <f t="shared" si="6"/>
        <v>102.96287278352</v>
      </c>
      <c r="L65" s="3">
        <v>94.614666666666665</v>
      </c>
      <c r="M65" s="3">
        <v>225.8</v>
      </c>
      <c r="N65" s="3">
        <f t="shared" si="9"/>
        <v>131.18533333333335</v>
      </c>
      <c r="O65" s="3">
        <f t="shared" si="7"/>
        <v>1.2741032741884661</v>
      </c>
      <c r="P65" s="3">
        <f t="shared" si="8"/>
        <v>0.51920631162699382</v>
      </c>
      <c r="Q65" s="15">
        <v>6.6741468699218567</v>
      </c>
      <c r="R65" s="15">
        <v>77.927087363615243</v>
      </c>
      <c r="S65" s="15">
        <v>15.398765766462894</v>
      </c>
      <c r="T65" s="15">
        <f t="shared" si="3"/>
        <v>93.325853130078144</v>
      </c>
      <c r="U65" s="3">
        <v>455</v>
      </c>
      <c r="V65" s="3">
        <v>18.999999999999972</v>
      </c>
      <c r="W65" s="12">
        <v>93.21</v>
      </c>
      <c r="X65" s="13">
        <v>584.79999999999995</v>
      </c>
      <c r="Y65" s="13">
        <v>199.9</v>
      </c>
      <c r="Z65" s="13">
        <v>3662</v>
      </c>
    </row>
    <row r="66" spans="1:26" x14ac:dyDescent="0.55000000000000004">
      <c r="A66" s="2">
        <v>65</v>
      </c>
      <c r="C66" s="2" t="s">
        <v>87</v>
      </c>
      <c r="D66" s="2">
        <v>32</v>
      </c>
      <c r="E66" s="4">
        <v>1</v>
      </c>
      <c r="F66" s="7">
        <v>-94.090373999999997</v>
      </c>
      <c r="G66" s="7">
        <v>40.725127999999998</v>
      </c>
      <c r="H66" s="2" t="s">
        <v>24</v>
      </c>
      <c r="I66" s="2">
        <v>3</v>
      </c>
      <c r="J66" s="2">
        <v>109</v>
      </c>
      <c r="K66" s="3">
        <f t="shared" ref="K66:K97" si="10">3.14159*(2.54^2)*5.08</f>
        <v>102.96287278352</v>
      </c>
      <c r="L66" s="3">
        <v>94.614666666666665</v>
      </c>
      <c r="M66" s="3">
        <v>225.74</v>
      </c>
      <c r="N66" s="3">
        <f t="shared" si="9"/>
        <v>131.12533333333334</v>
      </c>
      <c r="O66" s="3">
        <f t="shared" ref="O66:O97" si="11">N66/K66</f>
        <v>1.2735205398651326</v>
      </c>
      <c r="P66" s="3">
        <f t="shared" ref="P66:P97" si="12">1-(O66/2.65)</f>
        <v>0.51942621137164813</v>
      </c>
      <c r="Q66" s="15">
        <v>14.307139756087928</v>
      </c>
      <c r="R66" s="15">
        <v>76.009567036350006</v>
      </c>
      <c r="S66" s="15">
        <v>9.6832932075620644</v>
      </c>
      <c r="T66" s="15">
        <f t="shared" si="3"/>
        <v>85.692860243912065</v>
      </c>
      <c r="U66" s="3">
        <v>343</v>
      </c>
      <c r="V66" s="3">
        <v>14</v>
      </c>
      <c r="W66" s="12">
        <v>38.380000000000003</v>
      </c>
      <c r="X66" s="13">
        <v>507</v>
      </c>
      <c r="Y66" s="13">
        <v>239.4</v>
      </c>
      <c r="Z66" s="13">
        <v>2946</v>
      </c>
    </row>
    <row r="67" spans="1:26" x14ac:dyDescent="0.55000000000000004">
      <c r="A67" s="2">
        <v>66</v>
      </c>
      <c r="C67" s="2" t="s">
        <v>88</v>
      </c>
      <c r="D67" s="2">
        <v>33</v>
      </c>
      <c r="E67" s="4">
        <v>1</v>
      </c>
      <c r="F67" s="2">
        <v>-93.854473999999996</v>
      </c>
      <c r="G67" s="2">
        <v>40.83616</v>
      </c>
      <c r="H67" s="2" t="s">
        <v>22</v>
      </c>
      <c r="I67" s="2">
        <v>5</v>
      </c>
      <c r="J67" s="2">
        <v>109</v>
      </c>
      <c r="K67" s="3">
        <f t="shared" si="10"/>
        <v>102.96287278352</v>
      </c>
      <c r="L67" s="3">
        <v>94.614666666666665</v>
      </c>
      <c r="M67" s="3">
        <v>209.67</v>
      </c>
      <c r="N67" s="3">
        <f t="shared" si="9"/>
        <v>115.05533333333332</v>
      </c>
      <c r="O67" s="3">
        <f t="shared" si="11"/>
        <v>1.1174448635989187</v>
      </c>
      <c r="P67" s="3">
        <f t="shared" si="12"/>
        <v>0.57832269298154015</v>
      </c>
      <c r="Q67" s="15">
        <v>24.870788481716072</v>
      </c>
      <c r="R67" s="15">
        <v>62.958279252321923</v>
      </c>
      <c r="S67" s="15">
        <v>12.170932265961994</v>
      </c>
      <c r="T67" s="15">
        <f t="shared" ref="T67:T130" si="13">R67+S67</f>
        <v>75.12921151828391</v>
      </c>
      <c r="U67" s="3">
        <v>307</v>
      </c>
      <c r="V67" s="3">
        <v>32</v>
      </c>
      <c r="W67" s="12">
        <v>30.91</v>
      </c>
      <c r="X67" s="13">
        <v>495.7</v>
      </c>
      <c r="Y67" s="13">
        <v>210.6</v>
      </c>
      <c r="Z67" s="13">
        <v>2745</v>
      </c>
    </row>
    <row r="68" spans="1:26" x14ac:dyDescent="0.55000000000000004">
      <c r="A68" s="2">
        <v>67</v>
      </c>
      <c r="C68" s="2" t="s">
        <v>89</v>
      </c>
      <c r="D68" s="2">
        <v>34</v>
      </c>
      <c r="E68" s="4">
        <v>1</v>
      </c>
      <c r="F68" s="2">
        <v>-93.311519000000004</v>
      </c>
      <c r="G68" s="2">
        <v>40.994425</v>
      </c>
      <c r="H68" s="2" t="s">
        <v>22</v>
      </c>
      <c r="I68" s="2">
        <v>5</v>
      </c>
      <c r="J68" s="2">
        <v>109</v>
      </c>
      <c r="K68" s="3">
        <f t="shared" si="10"/>
        <v>102.96287278352</v>
      </c>
      <c r="L68" s="3">
        <v>94.614666666666665</v>
      </c>
      <c r="M68" s="3">
        <v>211.1</v>
      </c>
      <c r="N68" s="3">
        <f t="shared" si="9"/>
        <v>116.48533333333333</v>
      </c>
      <c r="O68" s="3">
        <f t="shared" si="11"/>
        <v>1.1313333649717057</v>
      </c>
      <c r="P68" s="3">
        <f t="shared" si="12"/>
        <v>0.57308174906728082</v>
      </c>
      <c r="Q68" s="15">
        <v>84.584792544666669</v>
      </c>
      <c r="R68" s="15">
        <v>8.3242120258799943</v>
      </c>
      <c r="S68" s="15">
        <v>7.0909954294533284</v>
      </c>
      <c r="T68" s="15">
        <f t="shared" si="13"/>
        <v>15.415207455333324</v>
      </c>
      <c r="U68" s="3">
        <v>271.5</v>
      </c>
      <c r="V68" s="3">
        <v>23.5</v>
      </c>
      <c r="W68" s="12">
        <v>18.8</v>
      </c>
      <c r="X68" s="13">
        <v>167.4</v>
      </c>
      <c r="Y68" s="13">
        <v>265.2</v>
      </c>
      <c r="Z68" s="13">
        <v>692.7</v>
      </c>
    </row>
    <row r="69" spans="1:26" x14ac:dyDescent="0.55000000000000004">
      <c r="A69" s="2">
        <v>68</v>
      </c>
      <c r="C69" s="2" t="s">
        <v>90</v>
      </c>
      <c r="D69" s="2">
        <v>34</v>
      </c>
      <c r="E69" s="4">
        <v>2</v>
      </c>
      <c r="F69" s="2">
        <v>-93.311519000000004</v>
      </c>
      <c r="G69" s="2">
        <v>40.994425</v>
      </c>
      <c r="H69" s="2" t="s">
        <v>24</v>
      </c>
      <c r="I69" s="2">
        <v>5</v>
      </c>
      <c r="J69" s="2">
        <v>109</v>
      </c>
      <c r="K69" s="3">
        <f t="shared" si="10"/>
        <v>102.96287278352</v>
      </c>
      <c r="L69" s="3">
        <v>94.614666666666665</v>
      </c>
      <c r="M69" s="3">
        <v>231.47</v>
      </c>
      <c r="N69" s="3">
        <f t="shared" si="9"/>
        <v>136.85533333333333</v>
      </c>
      <c r="O69" s="3">
        <f t="shared" si="11"/>
        <v>1.3291716677435021</v>
      </c>
      <c r="P69" s="3">
        <f t="shared" si="12"/>
        <v>0.498425785757169</v>
      </c>
      <c r="Q69" s="15">
        <v>12.695889826812543</v>
      </c>
      <c r="R69" s="15">
        <v>70.629025130108658</v>
      </c>
      <c r="S69" s="15">
        <v>16.675085043078806</v>
      </c>
      <c r="T69" s="15">
        <f t="shared" si="13"/>
        <v>87.304110173187468</v>
      </c>
      <c r="U69" s="3">
        <v>345.5</v>
      </c>
      <c r="V69" s="3">
        <v>7.5</v>
      </c>
      <c r="W69" s="12">
        <v>24.25</v>
      </c>
      <c r="X69" s="13">
        <v>520.20000000000005</v>
      </c>
      <c r="Y69" s="13">
        <v>229.4</v>
      </c>
      <c r="Z69" s="13">
        <v>2397</v>
      </c>
    </row>
    <row r="70" spans="1:26" x14ac:dyDescent="0.55000000000000004">
      <c r="A70" s="2">
        <v>69</v>
      </c>
      <c r="C70" s="2" t="s">
        <v>91</v>
      </c>
      <c r="D70" s="2">
        <v>35</v>
      </c>
      <c r="E70" s="4">
        <v>1</v>
      </c>
      <c r="F70" s="2">
        <v>-93.075726000000003</v>
      </c>
      <c r="G70" s="2">
        <v>41.114587</v>
      </c>
      <c r="H70" s="2" t="s">
        <v>23</v>
      </c>
      <c r="I70" s="2">
        <v>1</v>
      </c>
      <c r="J70" s="2">
        <v>109</v>
      </c>
      <c r="K70" s="3">
        <f t="shared" si="10"/>
        <v>102.96287278352</v>
      </c>
      <c r="L70" s="3">
        <v>94.614666666666665</v>
      </c>
      <c r="M70" s="3">
        <v>215.46</v>
      </c>
      <c r="N70" s="3">
        <f t="shared" si="9"/>
        <v>120.84533333333334</v>
      </c>
      <c r="O70" s="3">
        <f t="shared" si="11"/>
        <v>1.1736787258006225</v>
      </c>
      <c r="P70" s="3">
        <f t="shared" si="12"/>
        <v>0.55710236762240661</v>
      </c>
      <c r="Q70" s="15">
        <v>69.708429190651557</v>
      </c>
      <c r="R70" s="15">
        <v>23.597133660482438</v>
      </c>
      <c r="S70" s="15">
        <v>6.6944371488660073</v>
      </c>
      <c r="T70" s="15">
        <f t="shared" si="13"/>
        <v>30.291570809348446</v>
      </c>
      <c r="U70" s="3">
        <v>288</v>
      </c>
      <c r="V70" s="3">
        <v>8</v>
      </c>
      <c r="W70" s="12">
        <v>30.14</v>
      </c>
      <c r="X70" s="13">
        <v>251.6</v>
      </c>
      <c r="Y70" s="13">
        <v>319.5</v>
      </c>
      <c r="Z70" s="13">
        <v>2572</v>
      </c>
    </row>
    <row r="71" spans="1:26" x14ac:dyDescent="0.55000000000000004">
      <c r="A71" s="2">
        <v>70</v>
      </c>
      <c r="C71" s="2" t="s">
        <v>92</v>
      </c>
      <c r="D71" s="2">
        <v>35</v>
      </c>
      <c r="E71" s="4">
        <v>2</v>
      </c>
      <c r="F71" s="2">
        <v>-93.075726000000003</v>
      </c>
      <c r="G71" s="2">
        <v>41.114587</v>
      </c>
      <c r="H71" s="2" t="s">
        <v>24</v>
      </c>
      <c r="I71" s="2">
        <v>1</v>
      </c>
      <c r="J71" s="2">
        <v>109</v>
      </c>
      <c r="K71" s="3">
        <f t="shared" si="10"/>
        <v>102.96287278352</v>
      </c>
      <c r="L71" s="3">
        <v>94.614666666666665</v>
      </c>
      <c r="M71" s="3">
        <v>208.31</v>
      </c>
      <c r="N71" s="3">
        <f t="shared" si="9"/>
        <v>113.69533333333334</v>
      </c>
      <c r="O71" s="3">
        <f t="shared" si="11"/>
        <v>1.1042362189366879</v>
      </c>
      <c r="P71" s="3">
        <f t="shared" si="12"/>
        <v>0.58330708719370272</v>
      </c>
      <c r="Q71" s="15">
        <v>25.380462900596456</v>
      </c>
      <c r="R71" s="15">
        <v>43.652429203151065</v>
      </c>
      <c r="S71" s="15">
        <v>30.967107896252472</v>
      </c>
      <c r="T71" s="15">
        <f t="shared" si="13"/>
        <v>74.619537099403544</v>
      </c>
      <c r="U71" s="3">
        <v>341</v>
      </c>
      <c r="V71" s="3">
        <v>6</v>
      </c>
      <c r="W71" s="12">
        <v>46.53</v>
      </c>
      <c r="X71" s="13">
        <v>345.8</v>
      </c>
      <c r="Y71" s="13">
        <v>542.70000000000005</v>
      </c>
      <c r="Z71" s="13">
        <v>2088</v>
      </c>
    </row>
    <row r="72" spans="1:26" x14ac:dyDescent="0.55000000000000004">
      <c r="A72" s="2">
        <v>71</v>
      </c>
      <c r="C72" s="2" t="s">
        <v>93</v>
      </c>
      <c r="D72" s="2">
        <v>36</v>
      </c>
      <c r="E72" s="4">
        <v>1</v>
      </c>
      <c r="F72" s="2">
        <v>-92.926736000000005</v>
      </c>
      <c r="G72" s="2">
        <v>41.189664999999998</v>
      </c>
      <c r="H72" s="2" t="s">
        <v>24</v>
      </c>
      <c r="I72" s="2">
        <v>6</v>
      </c>
      <c r="J72" s="2">
        <v>109</v>
      </c>
      <c r="K72" s="3">
        <f t="shared" si="10"/>
        <v>102.96287278352</v>
      </c>
      <c r="L72" s="3">
        <v>94.614666666666665</v>
      </c>
      <c r="M72" s="3">
        <v>235.01</v>
      </c>
      <c r="N72" s="3">
        <f t="shared" si="9"/>
        <v>140.39533333333333</v>
      </c>
      <c r="O72" s="3">
        <f t="shared" si="11"/>
        <v>1.3635529928201915</v>
      </c>
      <c r="P72" s="3">
        <f t="shared" si="12"/>
        <v>0.48545170082256928</v>
      </c>
      <c r="Q72" s="15">
        <v>44.794715607942422</v>
      </c>
      <c r="R72" s="15">
        <v>22.854987738311838</v>
      </c>
      <c r="S72" s="15">
        <v>32.350296653745744</v>
      </c>
      <c r="T72" s="15">
        <f t="shared" si="13"/>
        <v>55.205284392057578</v>
      </c>
      <c r="U72" s="3">
        <v>828.5</v>
      </c>
      <c r="V72" s="3">
        <v>54.5</v>
      </c>
      <c r="W72" s="12">
        <v>24.36</v>
      </c>
      <c r="X72" s="13">
        <v>367.3</v>
      </c>
      <c r="Y72" s="13">
        <v>339</v>
      </c>
      <c r="Z72" s="13">
        <v>1098</v>
      </c>
    </row>
    <row r="73" spans="1:26" x14ac:dyDescent="0.55000000000000004">
      <c r="A73" s="2">
        <v>72</v>
      </c>
      <c r="C73" s="2" t="s">
        <v>94</v>
      </c>
      <c r="D73" s="2">
        <v>37</v>
      </c>
      <c r="E73" s="4">
        <v>1</v>
      </c>
      <c r="F73" s="7">
        <v>-92.985956000000002</v>
      </c>
      <c r="G73" s="7">
        <v>40.896526999999999</v>
      </c>
      <c r="H73" s="2" t="s">
        <v>23</v>
      </c>
      <c r="I73" s="2">
        <v>3</v>
      </c>
      <c r="J73" s="2">
        <v>109</v>
      </c>
      <c r="K73" s="3">
        <f t="shared" si="10"/>
        <v>102.96287278352</v>
      </c>
      <c r="L73" s="3">
        <v>94.614666666666665</v>
      </c>
      <c r="M73" s="3">
        <v>217.98</v>
      </c>
      <c r="N73" s="3">
        <f t="shared" si="9"/>
        <v>123.36533333333333</v>
      </c>
      <c r="O73" s="3">
        <f t="shared" si="11"/>
        <v>1.1981535673806383</v>
      </c>
      <c r="P73" s="3">
        <f t="shared" si="12"/>
        <v>0.54786657834692898</v>
      </c>
      <c r="Q73" s="15">
        <v>10.590670582005501</v>
      </c>
      <c r="R73" s="15">
        <v>65.715857122225955</v>
      </c>
      <c r="S73" s="15">
        <v>23.69347229576854</v>
      </c>
      <c r="T73" s="15">
        <f t="shared" si="13"/>
        <v>89.409329417994499</v>
      </c>
      <c r="U73" s="3">
        <v>1120.5</v>
      </c>
      <c r="V73" s="3">
        <v>5.5</v>
      </c>
      <c r="W73" s="12">
        <v>64.16</v>
      </c>
      <c r="X73" s="13">
        <v>44.35</v>
      </c>
      <c r="Y73" s="13">
        <v>74.599999999999994</v>
      </c>
      <c r="Z73" s="13">
        <v>7025</v>
      </c>
    </row>
    <row r="74" spans="1:26" x14ac:dyDescent="0.55000000000000004">
      <c r="A74" s="2">
        <v>73</v>
      </c>
      <c r="C74" s="2" t="s">
        <v>95</v>
      </c>
      <c r="D74" s="2">
        <v>38</v>
      </c>
      <c r="E74" s="4">
        <v>1</v>
      </c>
      <c r="F74" s="7">
        <v>-93.145897000000005</v>
      </c>
      <c r="G74" s="7">
        <v>40.780239999999999</v>
      </c>
      <c r="H74" s="2" t="s">
        <v>22</v>
      </c>
      <c r="I74" s="2">
        <v>2</v>
      </c>
      <c r="J74" s="2">
        <v>109</v>
      </c>
      <c r="K74" s="3">
        <f t="shared" si="10"/>
        <v>102.96287278352</v>
      </c>
      <c r="L74" s="3">
        <v>94.614666666666665</v>
      </c>
      <c r="M74" s="3">
        <v>195.24</v>
      </c>
      <c r="N74" s="3">
        <f t="shared" si="9"/>
        <v>100.62533333333334</v>
      </c>
      <c r="O74" s="3">
        <f t="shared" si="11"/>
        <v>0.97729725883716023</v>
      </c>
      <c r="P74" s="3">
        <f t="shared" si="12"/>
        <v>0.631208581570883</v>
      </c>
      <c r="Q74" s="15">
        <v>25.621895431252849</v>
      </c>
      <c r="R74" s="15">
        <v>59.130593132153976</v>
      </c>
      <c r="S74" s="15">
        <v>15.247511436593166</v>
      </c>
      <c r="T74" s="15">
        <f t="shared" si="13"/>
        <v>74.378104568747148</v>
      </c>
      <c r="U74" s="3">
        <v>774.5</v>
      </c>
      <c r="V74" s="3">
        <v>17.5</v>
      </c>
      <c r="W74" s="12">
        <v>58.22</v>
      </c>
      <c r="X74" s="13">
        <v>10.89</v>
      </c>
      <c r="Y74" s="13">
        <v>133.19999999999999</v>
      </c>
      <c r="Z74" s="13">
        <v>7216</v>
      </c>
    </row>
    <row r="75" spans="1:26" x14ac:dyDescent="0.55000000000000004">
      <c r="A75" s="2">
        <v>74</v>
      </c>
      <c r="C75" s="2" t="s">
        <v>96</v>
      </c>
      <c r="D75" s="2">
        <v>39</v>
      </c>
      <c r="E75" s="4">
        <v>1</v>
      </c>
      <c r="F75" s="7">
        <v>-92.779408000000004</v>
      </c>
      <c r="G75" s="7">
        <v>40.665711000000002</v>
      </c>
      <c r="H75" s="2" t="s">
        <v>24</v>
      </c>
      <c r="I75" s="2">
        <v>4</v>
      </c>
      <c r="J75" s="2">
        <v>109</v>
      </c>
      <c r="K75" s="3">
        <f t="shared" si="10"/>
        <v>102.96287278352</v>
      </c>
      <c r="L75" s="3">
        <v>94.614666666666665</v>
      </c>
      <c r="M75" s="3">
        <v>207.99</v>
      </c>
      <c r="N75" s="3">
        <f t="shared" si="9"/>
        <v>113.37533333333334</v>
      </c>
      <c r="O75" s="3">
        <f t="shared" si="11"/>
        <v>1.1011283025455749</v>
      </c>
      <c r="P75" s="3">
        <f t="shared" si="12"/>
        <v>0.5844798858318585</v>
      </c>
      <c r="Q75" s="15">
        <v>20.245103338476493</v>
      </c>
      <c r="R75" s="15">
        <v>72.178181478678766</v>
      </c>
      <c r="S75" s="15">
        <v>7.5767151828447332</v>
      </c>
      <c r="T75" s="15">
        <f t="shared" si="13"/>
        <v>79.754896661523503</v>
      </c>
      <c r="U75" s="3">
        <v>429</v>
      </c>
      <c r="V75" s="3">
        <v>25</v>
      </c>
      <c r="W75" s="12">
        <v>15.67</v>
      </c>
      <c r="X75" s="13">
        <v>76.38</v>
      </c>
      <c r="Y75" s="13">
        <v>163.19999999999999</v>
      </c>
      <c r="Z75" s="13">
        <v>5648</v>
      </c>
    </row>
    <row r="76" spans="1:26" x14ac:dyDescent="0.55000000000000004">
      <c r="A76" s="2">
        <v>75</v>
      </c>
      <c r="C76" s="2" t="s">
        <v>97</v>
      </c>
      <c r="D76" s="2">
        <v>39</v>
      </c>
      <c r="E76" s="4">
        <v>2</v>
      </c>
      <c r="F76" s="7">
        <v>-92.779408000000004</v>
      </c>
      <c r="G76" s="7">
        <v>40.665711000000002</v>
      </c>
      <c r="H76" s="2" t="s">
        <v>23</v>
      </c>
      <c r="I76" s="2">
        <v>4</v>
      </c>
      <c r="J76" s="2">
        <v>109</v>
      </c>
      <c r="K76" s="3">
        <f t="shared" si="10"/>
        <v>102.96287278352</v>
      </c>
      <c r="L76" s="3">
        <v>94.614666666666665</v>
      </c>
      <c r="M76" s="3">
        <v>196.04</v>
      </c>
      <c r="N76" s="3">
        <f t="shared" si="9"/>
        <v>101.42533333333333</v>
      </c>
      <c r="O76" s="3">
        <f t="shared" si="11"/>
        <v>0.98506704981494297</v>
      </c>
      <c r="P76" s="3">
        <f t="shared" si="12"/>
        <v>0.62827658497549321</v>
      </c>
      <c r="Q76" s="15">
        <v>42.437041759642987</v>
      </c>
      <c r="R76" s="15">
        <v>38.682307937519909</v>
      </c>
      <c r="S76" s="15">
        <v>18.880650302837097</v>
      </c>
      <c r="T76" s="15">
        <f t="shared" si="13"/>
        <v>57.562958240357005</v>
      </c>
      <c r="U76" s="3">
        <v>521.5</v>
      </c>
      <c r="V76" s="3">
        <v>33.5</v>
      </c>
      <c r="W76" s="12">
        <v>37.21</v>
      </c>
      <c r="X76" s="13">
        <v>0.18</v>
      </c>
      <c r="Y76" s="13">
        <v>240.5</v>
      </c>
      <c r="Z76" s="13">
        <v>9465</v>
      </c>
    </row>
    <row r="77" spans="1:26" x14ac:dyDescent="0.55000000000000004">
      <c r="A77" s="2">
        <v>76</v>
      </c>
      <c r="C77" s="2" t="s">
        <v>98</v>
      </c>
      <c r="D77" s="2">
        <v>40</v>
      </c>
      <c r="E77" s="4">
        <v>1</v>
      </c>
      <c r="F77" s="7">
        <v>-92.618656999999999</v>
      </c>
      <c r="G77" s="7">
        <v>40.860145000000003</v>
      </c>
      <c r="H77" s="2" t="s">
        <v>22</v>
      </c>
      <c r="I77" s="2">
        <v>1</v>
      </c>
      <c r="J77" s="2">
        <v>109</v>
      </c>
      <c r="K77" s="3">
        <f t="shared" si="10"/>
        <v>102.96287278352</v>
      </c>
      <c r="L77" s="3">
        <v>94.614666666666665</v>
      </c>
      <c r="M77" s="3">
        <v>199.29</v>
      </c>
      <c r="N77" s="3">
        <f t="shared" si="9"/>
        <v>104.67533333333333</v>
      </c>
      <c r="O77" s="3">
        <f t="shared" si="11"/>
        <v>1.0166318256621858</v>
      </c>
      <c r="P77" s="3">
        <f t="shared" si="12"/>
        <v>0.61636534880672234</v>
      </c>
      <c r="Q77" s="15">
        <v>49.03177139680993</v>
      </c>
      <c r="R77" s="15">
        <v>43.88364482734665</v>
      </c>
      <c r="S77" s="15">
        <v>7.0845837758434209</v>
      </c>
      <c r="T77" s="15">
        <f t="shared" si="13"/>
        <v>50.96822860319007</v>
      </c>
      <c r="U77" s="3">
        <v>262.5</v>
      </c>
      <c r="V77" s="3">
        <v>16.5</v>
      </c>
      <c r="W77" s="12">
        <v>20.76</v>
      </c>
      <c r="X77" s="13">
        <v>329.1</v>
      </c>
      <c r="Y77" s="13">
        <v>284</v>
      </c>
      <c r="Z77" s="13">
        <v>2548</v>
      </c>
    </row>
    <row r="78" spans="1:26" x14ac:dyDescent="0.55000000000000004">
      <c r="A78" s="2">
        <v>77</v>
      </c>
      <c r="C78" s="2" t="s">
        <v>99</v>
      </c>
      <c r="D78" s="2">
        <v>41</v>
      </c>
      <c r="E78" s="4">
        <v>1</v>
      </c>
      <c r="F78" s="7">
        <v>-92.297360999999995</v>
      </c>
      <c r="G78" s="7">
        <v>40.962316000000001</v>
      </c>
      <c r="H78" s="2" t="s">
        <v>22</v>
      </c>
      <c r="I78" s="2">
        <v>2</v>
      </c>
      <c r="J78" s="2">
        <v>109</v>
      </c>
      <c r="K78" s="3">
        <f t="shared" si="10"/>
        <v>102.96287278352</v>
      </c>
      <c r="L78" s="3">
        <v>94.614666666666665</v>
      </c>
      <c r="M78" s="3">
        <v>239.42</v>
      </c>
      <c r="N78" s="3">
        <f t="shared" si="9"/>
        <v>144.80533333333332</v>
      </c>
      <c r="O78" s="3">
        <f t="shared" si="11"/>
        <v>1.4063839655852195</v>
      </c>
      <c r="P78" s="3">
        <f t="shared" si="12"/>
        <v>0.46928906959048322</v>
      </c>
      <c r="Q78" s="15">
        <v>69.738794750676504</v>
      </c>
      <c r="R78" s="15">
        <v>26.599599414155357</v>
      </c>
      <c r="S78" s="15">
        <v>3.6616058351681429</v>
      </c>
      <c r="T78" s="15">
        <f t="shared" si="13"/>
        <v>30.261205249323499</v>
      </c>
      <c r="U78" s="3">
        <v>256.5</v>
      </c>
      <c r="V78" s="3">
        <v>2.5</v>
      </c>
      <c r="W78" s="12">
        <v>21.75</v>
      </c>
      <c r="X78" s="13">
        <v>361.5</v>
      </c>
      <c r="Y78" s="13">
        <v>166.9</v>
      </c>
      <c r="Z78" s="13">
        <v>1775</v>
      </c>
    </row>
    <row r="79" spans="1:26" x14ac:dyDescent="0.55000000000000004">
      <c r="A79" s="2">
        <v>78</v>
      </c>
      <c r="C79" s="2" t="s">
        <v>100</v>
      </c>
      <c r="D79" s="2">
        <v>42</v>
      </c>
      <c r="E79" s="4">
        <v>1</v>
      </c>
      <c r="F79" s="7">
        <v>-94.687258999999997</v>
      </c>
      <c r="G79" s="7">
        <v>40.703488999999998</v>
      </c>
      <c r="H79" s="2" t="s">
        <v>22</v>
      </c>
      <c r="I79" s="2">
        <v>4</v>
      </c>
      <c r="J79" s="2" t="s">
        <v>38</v>
      </c>
      <c r="K79" s="3">
        <f t="shared" si="10"/>
        <v>102.96287278352</v>
      </c>
      <c r="L79" s="3">
        <v>94.614666666666665</v>
      </c>
      <c r="M79" s="3">
        <v>229.1</v>
      </c>
      <c r="N79" s="3">
        <f t="shared" si="9"/>
        <v>134.48533333333333</v>
      </c>
      <c r="O79" s="3">
        <f t="shared" si="11"/>
        <v>1.3061536619718204</v>
      </c>
      <c r="P79" s="3">
        <f t="shared" si="12"/>
        <v>0.50711182567101121</v>
      </c>
      <c r="Q79" s="15">
        <v>17.76637220549771</v>
      </c>
      <c r="R79" s="15">
        <v>66.362537630163359</v>
      </c>
      <c r="S79" s="15">
        <v>15.871090164338945</v>
      </c>
      <c r="T79" s="15">
        <f t="shared" si="13"/>
        <v>82.233627794502297</v>
      </c>
      <c r="U79" s="3">
        <v>492.00000000000006</v>
      </c>
      <c r="V79" s="3">
        <v>6</v>
      </c>
      <c r="W79" s="12">
        <v>80.27</v>
      </c>
      <c r="X79" s="13">
        <v>627.5</v>
      </c>
      <c r="Y79" s="13">
        <v>273.5</v>
      </c>
      <c r="Z79" s="13">
        <v>2143</v>
      </c>
    </row>
    <row r="80" spans="1:26" x14ac:dyDescent="0.55000000000000004">
      <c r="A80" s="2">
        <v>79</v>
      </c>
      <c r="C80" s="2" t="s">
        <v>100</v>
      </c>
      <c r="D80" s="2">
        <v>42</v>
      </c>
      <c r="E80" s="4">
        <v>2</v>
      </c>
      <c r="F80" s="7">
        <v>-94.687258999999997</v>
      </c>
      <c r="G80" s="7">
        <v>40.703488999999998</v>
      </c>
      <c r="H80" s="2" t="s">
        <v>23</v>
      </c>
      <c r="I80" s="2">
        <v>4</v>
      </c>
      <c r="J80" s="2" t="s">
        <v>38</v>
      </c>
      <c r="K80" s="3">
        <f t="shared" si="10"/>
        <v>102.96287278352</v>
      </c>
      <c r="L80" s="3">
        <v>94.614666666666665</v>
      </c>
      <c r="M80" s="3">
        <v>239.58</v>
      </c>
      <c r="N80" s="3">
        <f t="shared" si="9"/>
        <v>144.96533333333335</v>
      </c>
      <c r="O80" s="3">
        <f t="shared" si="11"/>
        <v>1.4079379237807763</v>
      </c>
      <c r="P80" s="3">
        <f t="shared" si="12"/>
        <v>0.46870267027140511</v>
      </c>
      <c r="Q80" s="15">
        <v>10.847982953169655</v>
      </c>
      <c r="R80" s="15">
        <v>42.347208097244412</v>
      </c>
      <c r="S80" s="15">
        <v>46.804808949585933</v>
      </c>
      <c r="T80" s="15">
        <f t="shared" si="13"/>
        <v>89.152017046830338</v>
      </c>
      <c r="U80" s="3">
        <v>382</v>
      </c>
      <c r="V80" s="3">
        <v>5</v>
      </c>
      <c r="W80" s="12">
        <v>42.75</v>
      </c>
      <c r="X80" s="13">
        <v>501.3</v>
      </c>
      <c r="Y80" s="13">
        <v>183</v>
      </c>
      <c r="Z80" s="13">
        <v>2627</v>
      </c>
    </row>
    <row r="81" spans="1:26" x14ac:dyDescent="0.55000000000000004">
      <c r="A81" s="2">
        <v>80</v>
      </c>
      <c r="C81" s="2" t="s">
        <v>100</v>
      </c>
      <c r="D81" s="2">
        <v>42</v>
      </c>
      <c r="E81" s="4">
        <v>3</v>
      </c>
      <c r="F81" s="7">
        <v>-94.687258999999997</v>
      </c>
      <c r="G81" s="7">
        <v>40.703488999999998</v>
      </c>
      <c r="H81" s="2" t="s">
        <v>24</v>
      </c>
      <c r="I81" s="2">
        <v>4</v>
      </c>
      <c r="J81" s="2" t="s">
        <v>38</v>
      </c>
      <c r="K81" s="3">
        <f t="shared" si="10"/>
        <v>102.96287278352</v>
      </c>
      <c r="L81" s="3">
        <v>94.614666666666665</v>
      </c>
      <c r="M81" s="3">
        <v>242.71</v>
      </c>
      <c r="N81" s="3">
        <f t="shared" si="9"/>
        <v>148.09533333333334</v>
      </c>
      <c r="O81" s="3">
        <f t="shared" si="11"/>
        <v>1.4383372309813518</v>
      </c>
      <c r="P81" s="3">
        <f t="shared" si="12"/>
        <v>0.45723123359194273</v>
      </c>
      <c r="Q81" s="15">
        <v>27.993471487214975</v>
      </c>
      <c r="R81" s="15">
        <v>32.690963944804395</v>
      </c>
      <c r="S81" s="15">
        <v>39.31556456798063</v>
      </c>
      <c r="T81" s="15">
        <f t="shared" si="13"/>
        <v>72.006528512785025</v>
      </c>
      <c r="U81" s="3">
        <v>457.5</v>
      </c>
      <c r="V81" s="3">
        <v>17.499999999999972</v>
      </c>
      <c r="W81" s="12">
        <v>57.5</v>
      </c>
      <c r="X81" s="13">
        <v>461.5</v>
      </c>
      <c r="Y81" s="13">
        <v>222.2</v>
      </c>
      <c r="Z81" s="13">
        <v>2398</v>
      </c>
    </row>
    <row r="82" spans="1:26" x14ac:dyDescent="0.55000000000000004">
      <c r="A82" s="2">
        <v>81</v>
      </c>
      <c r="C82" s="2" t="s">
        <v>102</v>
      </c>
      <c r="D82" s="2">
        <v>43</v>
      </c>
      <c r="E82" s="4">
        <v>1</v>
      </c>
      <c r="F82" s="7">
        <v>-94.357911999999999</v>
      </c>
      <c r="G82" s="7">
        <v>40.816135000000003</v>
      </c>
      <c r="H82" s="2" t="s">
        <v>22</v>
      </c>
      <c r="I82" s="2">
        <v>1</v>
      </c>
      <c r="J82" s="2" t="s">
        <v>38</v>
      </c>
      <c r="K82" s="3">
        <f t="shared" si="10"/>
        <v>102.96287278352</v>
      </c>
      <c r="L82" s="3">
        <v>94.614666666666665</v>
      </c>
      <c r="M82" s="3">
        <v>219</v>
      </c>
      <c r="N82" s="3">
        <f t="shared" si="9"/>
        <v>124.38533333333334</v>
      </c>
      <c r="O82" s="3">
        <f t="shared" si="11"/>
        <v>1.2080600508773116</v>
      </c>
      <c r="P82" s="3">
        <f t="shared" si="12"/>
        <v>0.54412828268780689</v>
      </c>
      <c r="Q82" s="15">
        <v>24.555954576337001</v>
      </c>
      <c r="R82" s="15">
        <v>68.880413471804331</v>
      </c>
      <c r="S82" s="15">
        <v>6.5636319518586808</v>
      </c>
      <c r="T82" s="15">
        <f t="shared" si="13"/>
        <v>75.444045423663013</v>
      </c>
      <c r="U82" s="3">
        <v>281</v>
      </c>
      <c r="V82" s="3">
        <v>2</v>
      </c>
      <c r="W82" s="12">
        <v>6.39</v>
      </c>
      <c r="X82" s="13">
        <v>470.3</v>
      </c>
      <c r="Y82" s="13">
        <v>115.9</v>
      </c>
      <c r="Z82" s="13">
        <v>3407</v>
      </c>
    </row>
    <row r="83" spans="1:26" x14ac:dyDescent="0.55000000000000004">
      <c r="A83" s="2">
        <v>82</v>
      </c>
      <c r="C83" s="2" t="s">
        <v>102</v>
      </c>
      <c r="D83" s="2">
        <v>43</v>
      </c>
      <c r="E83" s="4">
        <v>2</v>
      </c>
      <c r="F83" s="7">
        <v>-94.357911999999999</v>
      </c>
      <c r="G83" s="7">
        <v>40.816135000000003</v>
      </c>
      <c r="H83" s="2" t="s">
        <v>23</v>
      </c>
      <c r="I83" s="2">
        <v>1</v>
      </c>
      <c r="J83" s="2" t="s">
        <v>38</v>
      </c>
      <c r="K83" s="3">
        <f t="shared" si="10"/>
        <v>102.96287278352</v>
      </c>
      <c r="L83" s="3">
        <v>94.614666666666665</v>
      </c>
      <c r="M83" s="3">
        <v>217.28</v>
      </c>
      <c r="N83" s="3">
        <f t="shared" si="9"/>
        <v>122.66533333333334</v>
      </c>
      <c r="O83" s="3">
        <f t="shared" si="11"/>
        <v>1.1913550002750786</v>
      </c>
      <c r="P83" s="3">
        <f t="shared" si="12"/>
        <v>0.55043207536789485</v>
      </c>
      <c r="Q83" s="15">
        <v>28.695250542949534</v>
      </c>
      <c r="R83" s="15">
        <v>63.67514126514606</v>
      </c>
      <c r="S83" s="15">
        <v>7.6296081919043983</v>
      </c>
      <c r="T83" s="15">
        <f t="shared" si="13"/>
        <v>71.304749457050463</v>
      </c>
      <c r="U83" s="3">
        <v>298</v>
      </c>
      <c r="V83" s="3">
        <v>10</v>
      </c>
      <c r="W83" s="12">
        <v>19.170000000000002</v>
      </c>
      <c r="X83" s="13">
        <v>493.3</v>
      </c>
      <c r="Y83" s="13">
        <v>276</v>
      </c>
      <c r="Z83" s="13">
        <v>3497</v>
      </c>
    </row>
    <row r="84" spans="1:26" x14ac:dyDescent="0.55000000000000004">
      <c r="A84" s="2">
        <v>83</v>
      </c>
      <c r="C84" s="2" t="s">
        <v>102</v>
      </c>
      <c r="D84" s="2">
        <v>43</v>
      </c>
      <c r="E84" s="4">
        <v>3</v>
      </c>
      <c r="F84" s="7">
        <v>-94.357911999999999</v>
      </c>
      <c r="G84" s="7">
        <v>40.816135000000003</v>
      </c>
      <c r="H84" s="2" t="s">
        <v>24</v>
      </c>
      <c r="I84" s="2">
        <v>1</v>
      </c>
      <c r="J84" s="2" t="s">
        <v>38</v>
      </c>
      <c r="K84" s="3">
        <f t="shared" si="10"/>
        <v>102.96287278352</v>
      </c>
      <c r="L84" s="3">
        <v>94.614666666666665</v>
      </c>
      <c r="M84" s="3">
        <v>228.39</v>
      </c>
      <c r="N84" s="3">
        <f t="shared" si="9"/>
        <v>133.77533333333332</v>
      </c>
      <c r="O84" s="3">
        <f t="shared" si="11"/>
        <v>1.2992579724790381</v>
      </c>
      <c r="P84" s="3">
        <f t="shared" si="12"/>
        <v>0.50971397264941953</v>
      </c>
      <c r="Q84" s="15">
        <v>30.757213298833197</v>
      </c>
      <c r="R84" s="15">
        <v>62.180022457647787</v>
      </c>
      <c r="S84" s="15">
        <v>7.0627642435190134</v>
      </c>
      <c r="T84" s="15">
        <f t="shared" si="13"/>
        <v>69.242786701166807</v>
      </c>
      <c r="U84" s="3">
        <v>234</v>
      </c>
      <c r="V84" s="3">
        <v>13.000000000000014</v>
      </c>
      <c r="W84" s="12">
        <v>5.04</v>
      </c>
      <c r="X84" s="13">
        <v>477.8</v>
      </c>
      <c r="Y84" s="13">
        <v>340.8</v>
      </c>
      <c r="Z84" s="13">
        <v>3604</v>
      </c>
    </row>
    <row r="85" spans="1:26" x14ac:dyDescent="0.55000000000000004">
      <c r="A85" s="2">
        <v>84</v>
      </c>
      <c r="C85" s="2" t="s">
        <v>103</v>
      </c>
      <c r="D85" s="2">
        <v>44</v>
      </c>
      <c r="E85" s="4">
        <v>1</v>
      </c>
      <c r="F85" s="7">
        <v>-94.690162999999998</v>
      </c>
      <c r="G85" s="7">
        <v>41.017310999999999</v>
      </c>
      <c r="H85" s="2" t="s">
        <v>22</v>
      </c>
      <c r="I85" s="2">
        <v>3</v>
      </c>
      <c r="J85" s="2" t="s">
        <v>38</v>
      </c>
      <c r="K85" s="3">
        <f t="shared" si="10"/>
        <v>102.96287278352</v>
      </c>
      <c r="L85" s="3">
        <v>94.614666666666665</v>
      </c>
      <c r="M85" s="3">
        <v>215.5</v>
      </c>
      <c r="N85" s="3">
        <f t="shared" si="9"/>
        <v>120.88533333333334</v>
      </c>
      <c r="O85" s="3">
        <f t="shared" si="11"/>
        <v>1.1740672153495115</v>
      </c>
      <c r="P85" s="3">
        <f t="shared" si="12"/>
        <v>0.55695576779263711</v>
      </c>
      <c r="Q85" s="15">
        <v>19.035287751710268</v>
      </c>
      <c r="R85" s="15">
        <v>68.334217137556536</v>
      </c>
      <c r="S85" s="15">
        <v>12.630495110733197</v>
      </c>
      <c r="T85" s="15">
        <f t="shared" si="13"/>
        <v>80.964712248289729</v>
      </c>
      <c r="U85" s="3">
        <v>418</v>
      </c>
      <c r="V85" s="3">
        <v>12.999999999999972</v>
      </c>
      <c r="W85" s="12">
        <v>35.89</v>
      </c>
      <c r="X85" s="13">
        <v>520.4</v>
      </c>
      <c r="Y85" s="13">
        <v>238.1</v>
      </c>
      <c r="Z85" s="13">
        <v>2906</v>
      </c>
    </row>
    <row r="86" spans="1:26" x14ac:dyDescent="0.55000000000000004">
      <c r="A86" s="2">
        <v>85</v>
      </c>
      <c r="C86" s="2" t="s">
        <v>103</v>
      </c>
      <c r="D86" s="2">
        <v>44</v>
      </c>
      <c r="E86" s="4">
        <v>2</v>
      </c>
      <c r="F86" s="7">
        <v>-94.690162999999998</v>
      </c>
      <c r="G86" s="7">
        <v>41.017310999999999</v>
      </c>
      <c r="H86" s="2" t="s">
        <v>24</v>
      </c>
      <c r="I86" s="2">
        <v>3</v>
      </c>
      <c r="J86" s="2" t="s">
        <v>38</v>
      </c>
      <c r="K86" s="3">
        <f t="shared" si="10"/>
        <v>102.96287278352</v>
      </c>
      <c r="L86" s="3">
        <v>94.614666666666665</v>
      </c>
      <c r="M86" s="3">
        <v>245.14</v>
      </c>
      <c r="N86" s="3">
        <f t="shared" si="9"/>
        <v>150.52533333333332</v>
      </c>
      <c r="O86" s="3">
        <f t="shared" si="11"/>
        <v>1.4619379710763671</v>
      </c>
      <c r="P86" s="3">
        <f t="shared" si="12"/>
        <v>0.44832529393344633</v>
      </c>
      <c r="Q86" s="15">
        <v>30.874652781138373</v>
      </c>
      <c r="R86" s="15">
        <v>58.756545136032379</v>
      </c>
      <c r="S86" s="15">
        <v>10.368802082829246</v>
      </c>
      <c r="T86" s="15">
        <f t="shared" si="13"/>
        <v>69.12534721886162</v>
      </c>
      <c r="U86" s="3">
        <v>778</v>
      </c>
      <c r="V86" s="3">
        <v>8</v>
      </c>
      <c r="W86" s="12">
        <v>56.25</v>
      </c>
      <c r="X86" s="13">
        <v>210</v>
      </c>
      <c r="Y86" s="13">
        <v>211.9</v>
      </c>
      <c r="Z86" s="13">
        <v>2992</v>
      </c>
    </row>
    <row r="87" spans="1:26" x14ac:dyDescent="0.55000000000000004">
      <c r="A87" s="2">
        <v>86</v>
      </c>
      <c r="C87" s="2" t="s">
        <v>103</v>
      </c>
      <c r="D87" s="2">
        <v>44</v>
      </c>
      <c r="E87" s="4">
        <v>3</v>
      </c>
      <c r="F87" s="7">
        <v>-94.690162999999998</v>
      </c>
      <c r="G87" s="7">
        <v>41.017310999999999</v>
      </c>
      <c r="H87" s="2" t="s">
        <v>23</v>
      </c>
      <c r="I87" s="2">
        <v>3</v>
      </c>
      <c r="J87" s="2" t="s">
        <v>38</v>
      </c>
      <c r="K87" s="3">
        <f t="shared" si="10"/>
        <v>102.96287278352</v>
      </c>
      <c r="L87" s="3">
        <v>94.614666666666665</v>
      </c>
      <c r="M87" s="3">
        <v>205.9</v>
      </c>
      <c r="N87" s="3">
        <f t="shared" si="9"/>
        <v>111.28533333333334</v>
      </c>
      <c r="O87" s="3">
        <f t="shared" si="11"/>
        <v>1.0808297236161171</v>
      </c>
      <c r="P87" s="3">
        <f t="shared" si="12"/>
        <v>0.59213972693731431</v>
      </c>
      <c r="Q87" s="15">
        <v>28.758556162899513</v>
      </c>
      <c r="R87" s="15">
        <v>63.832333678042033</v>
      </c>
      <c r="S87" s="15">
        <v>7.4091101590584518</v>
      </c>
      <c r="T87" s="15">
        <f t="shared" si="13"/>
        <v>71.241443837100491</v>
      </c>
      <c r="U87" s="3">
        <v>525.5</v>
      </c>
      <c r="V87" s="3">
        <v>32.5</v>
      </c>
      <c r="W87" s="12">
        <v>49.67</v>
      </c>
      <c r="X87" s="13">
        <v>312.10000000000002</v>
      </c>
      <c r="Y87" s="13">
        <v>316.3</v>
      </c>
      <c r="Z87" s="13">
        <v>4478</v>
      </c>
    </row>
    <row r="88" spans="1:26" x14ac:dyDescent="0.55000000000000004">
      <c r="A88" s="2">
        <v>87</v>
      </c>
      <c r="C88" s="2" t="s">
        <v>105</v>
      </c>
      <c r="D88" s="2">
        <v>45</v>
      </c>
      <c r="E88" s="4">
        <v>1</v>
      </c>
      <c r="F88" s="7">
        <v>-94.759214</v>
      </c>
      <c r="G88" s="7">
        <v>41.428193999999998</v>
      </c>
      <c r="H88" s="2" t="s">
        <v>22</v>
      </c>
      <c r="I88" s="2">
        <v>2</v>
      </c>
      <c r="J88" s="2" t="s">
        <v>38</v>
      </c>
      <c r="K88" s="3">
        <f t="shared" si="10"/>
        <v>102.96287278352</v>
      </c>
      <c r="L88" s="3">
        <v>94.614666666666665</v>
      </c>
      <c r="M88" s="3">
        <v>208.54</v>
      </c>
      <c r="N88" s="3">
        <f t="shared" si="9"/>
        <v>113.92533333333333</v>
      </c>
      <c r="O88" s="3">
        <f t="shared" si="11"/>
        <v>1.1064700338428004</v>
      </c>
      <c r="P88" s="3">
        <f t="shared" si="12"/>
        <v>0.58246413817252818</v>
      </c>
      <c r="Q88" s="15">
        <v>18.685188808452359</v>
      </c>
      <c r="R88" s="15">
        <v>71.475719037370382</v>
      </c>
      <c r="S88" s="15">
        <v>9.8390921541772656</v>
      </c>
      <c r="T88" s="15">
        <f t="shared" si="13"/>
        <v>81.314811191547648</v>
      </c>
      <c r="U88" s="3">
        <v>353</v>
      </c>
      <c r="V88" s="3">
        <v>9</v>
      </c>
      <c r="W88" s="12">
        <v>12.35</v>
      </c>
      <c r="X88" s="13">
        <v>423.8</v>
      </c>
      <c r="Y88" s="13">
        <v>174.4</v>
      </c>
      <c r="Z88" s="13">
        <v>3311</v>
      </c>
    </row>
    <row r="89" spans="1:26" x14ac:dyDescent="0.55000000000000004">
      <c r="A89" s="2">
        <v>88</v>
      </c>
      <c r="C89" s="2" t="s">
        <v>105</v>
      </c>
      <c r="D89" s="2">
        <v>45</v>
      </c>
      <c r="E89" s="4">
        <v>2</v>
      </c>
      <c r="F89" s="7">
        <v>-94.759214</v>
      </c>
      <c r="G89" s="7">
        <v>41.428193999999998</v>
      </c>
      <c r="H89" s="2" t="s">
        <v>24</v>
      </c>
      <c r="I89" s="2">
        <v>2</v>
      </c>
      <c r="J89" s="2" t="s">
        <v>38</v>
      </c>
      <c r="K89" s="3">
        <f t="shared" si="10"/>
        <v>102.96287278352</v>
      </c>
      <c r="L89" s="3">
        <v>94.614666666666665</v>
      </c>
      <c r="M89" s="3">
        <v>221.58</v>
      </c>
      <c r="N89" s="3">
        <f t="shared" si="9"/>
        <v>126.96533333333335</v>
      </c>
      <c r="O89" s="3">
        <f t="shared" si="11"/>
        <v>1.2331176267806616</v>
      </c>
      <c r="P89" s="3">
        <f t="shared" si="12"/>
        <v>0.53467259366767483</v>
      </c>
      <c r="Q89" s="15">
        <v>7.3214409387274388</v>
      </c>
      <c r="R89" s="15">
        <v>54.216957050844442</v>
      </c>
      <c r="S89" s="15">
        <v>38.461602010428109</v>
      </c>
      <c r="T89" s="15">
        <f t="shared" si="13"/>
        <v>92.678559061272551</v>
      </c>
      <c r="U89" s="3">
        <v>234</v>
      </c>
      <c r="V89" s="3">
        <v>5</v>
      </c>
      <c r="W89" s="12">
        <v>43.91</v>
      </c>
      <c r="X89" s="13">
        <v>502.7</v>
      </c>
      <c r="Y89" s="13">
        <v>367.2</v>
      </c>
      <c r="Z89" s="13">
        <v>2569</v>
      </c>
    </row>
    <row r="90" spans="1:26" x14ac:dyDescent="0.55000000000000004">
      <c r="A90" s="2">
        <v>89</v>
      </c>
      <c r="C90" s="2" t="s">
        <v>106</v>
      </c>
      <c r="D90" s="2">
        <v>46</v>
      </c>
      <c r="E90" s="4">
        <v>1</v>
      </c>
      <c r="F90" s="7">
        <v>-94.251597000000004</v>
      </c>
      <c r="G90" s="7">
        <v>41.088965999999999</v>
      </c>
      <c r="H90" s="2" t="s">
        <v>22</v>
      </c>
      <c r="I90" s="2">
        <v>2</v>
      </c>
      <c r="J90" s="2" t="s">
        <v>38</v>
      </c>
      <c r="K90" s="3">
        <f t="shared" si="10"/>
        <v>102.96287278352</v>
      </c>
      <c r="L90" s="3">
        <v>94.614666666666665</v>
      </c>
      <c r="M90" s="3">
        <v>201.77</v>
      </c>
      <c r="N90" s="3">
        <f t="shared" si="9"/>
        <v>107.15533333333335</v>
      </c>
      <c r="O90" s="3">
        <f t="shared" si="11"/>
        <v>1.040718177693313</v>
      </c>
      <c r="P90" s="3">
        <f t="shared" si="12"/>
        <v>0.60727615936101398</v>
      </c>
      <c r="Q90" s="15">
        <v>7.7907733575274571</v>
      </c>
      <c r="R90" s="15">
        <v>82.435048618370459</v>
      </c>
      <c r="S90" s="15">
        <v>9.7741780241020884</v>
      </c>
      <c r="T90" s="15">
        <f t="shared" si="13"/>
        <v>92.209226642472544</v>
      </c>
      <c r="U90" s="3">
        <v>487.5</v>
      </c>
      <c r="V90" s="3">
        <v>13.5</v>
      </c>
      <c r="W90" s="12">
        <v>49.93</v>
      </c>
      <c r="X90" s="13">
        <v>351.9</v>
      </c>
      <c r="Y90" s="13">
        <v>197.4</v>
      </c>
      <c r="Z90" s="13">
        <v>4038</v>
      </c>
    </row>
    <row r="91" spans="1:26" x14ac:dyDescent="0.55000000000000004">
      <c r="A91" s="2">
        <v>90</v>
      </c>
      <c r="C91" s="2" t="s">
        <v>104</v>
      </c>
      <c r="D91" s="2">
        <v>47</v>
      </c>
      <c r="E91" s="4">
        <v>1</v>
      </c>
      <c r="F91" s="7">
        <v>-93.956914999999995</v>
      </c>
      <c r="G91" s="7">
        <v>41.416817999999999</v>
      </c>
      <c r="H91" s="2" t="s">
        <v>22</v>
      </c>
      <c r="I91" s="2">
        <v>5</v>
      </c>
      <c r="J91" s="2" t="s">
        <v>38</v>
      </c>
      <c r="K91" s="3">
        <f t="shared" si="10"/>
        <v>102.96287278352</v>
      </c>
      <c r="L91" s="3">
        <v>94.614666666666665</v>
      </c>
      <c r="M91" s="3">
        <v>188.69</v>
      </c>
      <c r="N91" s="3">
        <f t="shared" si="9"/>
        <v>94.075333333333333</v>
      </c>
      <c r="O91" s="3">
        <f t="shared" si="11"/>
        <v>0.91368209520656285</v>
      </c>
      <c r="P91" s="3">
        <f t="shared" si="12"/>
        <v>0.6552143036956366</v>
      </c>
      <c r="Q91" s="15">
        <v>22.829470771359418</v>
      </c>
      <c r="R91" s="15">
        <v>68.141577308889637</v>
      </c>
      <c r="S91" s="15">
        <v>9.0289519197509485</v>
      </c>
      <c r="T91" s="15">
        <f t="shared" si="13"/>
        <v>77.170529228640589</v>
      </c>
      <c r="U91" s="3">
        <v>510</v>
      </c>
      <c r="V91" s="3">
        <v>17</v>
      </c>
      <c r="W91" s="12">
        <v>64.63</v>
      </c>
      <c r="X91" s="13">
        <v>62.12</v>
      </c>
      <c r="Y91" s="13">
        <v>321.8</v>
      </c>
      <c r="Z91" s="13">
        <v>3993</v>
      </c>
    </row>
    <row r="92" spans="1:26" x14ac:dyDescent="0.55000000000000004">
      <c r="A92" s="2">
        <v>91</v>
      </c>
      <c r="C92" s="2" t="s">
        <v>104</v>
      </c>
      <c r="D92" s="2">
        <v>47</v>
      </c>
      <c r="E92" s="4">
        <v>2</v>
      </c>
      <c r="F92" s="7">
        <v>-93.956914999999995</v>
      </c>
      <c r="G92" s="7">
        <v>41.416817999999999</v>
      </c>
      <c r="H92" s="2" t="s">
        <v>24</v>
      </c>
      <c r="I92" s="2">
        <v>5</v>
      </c>
      <c r="J92" s="2" t="s">
        <v>38</v>
      </c>
      <c r="K92" s="3">
        <f t="shared" si="10"/>
        <v>102.96287278352</v>
      </c>
      <c r="L92" s="3">
        <v>94.614666666666665</v>
      </c>
      <c r="M92" s="3">
        <v>217.31</v>
      </c>
      <c r="N92" s="3">
        <f t="shared" ref="N92:N103" si="14">M92-L92</f>
        <v>122.69533333333334</v>
      </c>
      <c r="O92" s="3">
        <f t="shared" si="11"/>
        <v>1.1916463674367452</v>
      </c>
      <c r="P92" s="3">
        <f t="shared" si="12"/>
        <v>0.5503221254955678</v>
      </c>
      <c r="Q92" s="15">
        <v>8.7702874486346634</v>
      </c>
      <c r="R92" s="15">
        <v>83.110268134293818</v>
      </c>
      <c r="S92" s="15">
        <v>8.1194444170715148</v>
      </c>
      <c r="T92" s="15">
        <f t="shared" si="13"/>
        <v>91.229712551365338</v>
      </c>
      <c r="U92" s="3">
        <v>379.5</v>
      </c>
      <c r="V92" s="3">
        <v>5.5</v>
      </c>
      <c r="W92" s="12">
        <v>46.15</v>
      </c>
      <c r="X92" s="13">
        <v>445.4</v>
      </c>
      <c r="Y92" s="13">
        <v>416.8</v>
      </c>
      <c r="Z92" s="13">
        <v>3821</v>
      </c>
    </row>
    <row r="93" spans="1:26" x14ac:dyDescent="0.55000000000000004">
      <c r="A93" s="2">
        <v>92</v>
      </c>
      <c r="C93" s="2" t="s">
        <v>107</v>
      </c>
      <c r="D93" s="2">
        <v>48</v>
      </c>
      <c r="E93" s="4">
        <v>1</v>
      </c>
      <c r="F93" s="7">
        <v>-94.297993000000005</v>
      </c>
      <c r="G93" s="7">
        <v>41.099817000000002</v>
      </c>
      <c r="H93" s="2" t="s">
        <v>23</v>
      </c>
      <c r="I93" s="2">
        <v>5</v>
      </c>
      <c r="J93" s="2" t="s">
        <v>38</v>
      </c>
      <c r="K93" s="3">
        <f t="shared" si="10"/>
        <v>102.96287278352</v>
      </c>
      <c r="L93" s="3">
        <v>94.614666666666665</v>
      </c>
      <c r="M93" s="3">
        <v>215.74</v>
      </c>
      <c r="N93" s="3">
        <f t="shared" si="14"/>
        <v>121.12533333333334</v>
      </c>
      <c r="O93" s="3">
        <f t="shared" si="11"/>
        <v>1.1763981526428464</v>
      </c>
      <c r="P93" s="3">
        <f t="shared" si="12"/>
        <v>0.55607616881402022</v>
      </c>
      <c r="Q93" s="15">
        <v>14.99838252737451</v>
      </c>
      <c r="R93" s="15">
        <v>76.671458960308186</v>
      </c>
      <c r="S93" s="15">
        <v>8.3301585123172988</v>
      </c>
      <c r="T93" s="15">
        <f t="shared" si="13"/>
        <v>85.001617472625483</v>
      </c>
      <c r="U93" s="3">
        <v>496.5</v>
      </c>
      <c r="V93" s="3">
        <v>22.5</v>
      </c>
      <c r="W93" s="12">
        <v>74.52</v>
      </c>
      <c r="X93" s="13">
        <v>383.4</v>
      </c>
      <c r="Y93" s="13">
        <v>502.2</v>
      </c>
      <c r="Z93" s="13">
        <v>3884</v>
      </c>
    </row>
    <row r="94" spans="1:26" x14ac:dyDescent="0.55000000000000004">
      <c r="A94" s="2">
        <v>93</v>
      </c>
      <c r="C94" s="2" t="s">
        <v>108</v>
      </c>
      <c r="D94" s="2">
        <v>49</v>
      </c>
      <c r="E94" s="4">
        <v>1</v>
      </c>
      <c r="F94" s="7">
        <v>-94.327630999999997</v>
      </c>
      <c r="G94" s="7">
        <v>41.576622999999998</v>
      </c>
      <c r="H94" s="2" t="s">
        <v>23</v>
      </c>
      <c r="I94" s="2">
        <v>7</v>
      </c>
      <c r="J94" s="2" t="s">
        <v>38</v>
      </c>
      <c r="K94" s="3">
        <f t="shared" si="10"/>
        <v>102.96287278352</v>
      </c>
      <c r="L94" s="3">
        <v>94.614666666666665</v>
      </c>
      <c r="M94" s="3">
        <v>233.65</v>
      </c>
      <c r="N94" s="3">
        <f t="shared" si="14"/>
        <v>139.03533333333334</v>
      </c>
      <c r="O94" s="3">
        <f t="shared" si="11"/>
        <v>1.3503443481579607</v>
      </c>
      <c r="P94" s="3">
        <f t="shared" si="12"/>
        <v>0.49043609503473184</v>
      </c>
      <c r="Q94" s="15">
        <v>39.613018765086046</v>
      </c>
      <c r="R94" s="15">
        <v>50.543903293622982</v>
      </c>
      <c r="S94" s="15">
        <v>9.843077941290975</v>
      </c>
      <c r="T94" s="15">
        <f t="shared" si="13"/>
        <v>60.386981234913961</v>
      </c>
      <c r="U94" s="3">
        <v>350.5</v>
      </c>
      <c r="V94" s="3">
        <v>9.5</v>
      </c>
      <c r="W94" s="12">
        <v>62.49</v>
      </c>
      <c r="X94" s="13">
        <v>296</v>
      </c>
      <c r="Y94" s="13">
        <v>563</v>
      </c>
      <c r="Z94" s="13">
        <v>2064</v>
      </c>
    </row>
    <row r="95" spans="1:26" x14ac:dyDescent="0.55000000000000004">
      <c r="A95" s="2">
        <v>94</v>
      </c>
      <c r="C95" s="2" t="s">
        <v>101</v>
      </c>
      <c r="D95" s="2">
        <v>50</v>
      </c>
      <c r="E95" s="4">
        <v>1</v>
      </c>
      <c r="F95" s="2">
        <v>-93.960111999999995</v>
      </c>
      <c r="G95" s="2">
        <v>41.203615999999997</v>
      </c>
      <c r="H95" s="2" t="s">
        <v>22</v>
      </c>
      <c r="I95" s="2">
        <v>4</v>
      </c>
      <c r="J95" s="2" t="s">
        <v>38</v>
      </c>
      <c r="K95" s="3">
        <f t="shared" si="10"/>
        <v>102.96287278352</v>
      </c>
      <c r="L95" s="3">
        <v>94.614666666666665</v>
      </c>
      <c r="M95" s="3">
        <v>206.35</v>
      </c>
      <c r="N95" s="3">
        <f t="shared" si="14"/>
        <v>111.73533333333333</v>
      </c>
      <c r="O95" s="3">
        <f t="shared" si="11"/>
        <v>1.0852002310411197</v>
      </c>
      <c r="P95" s="3">
        <f t="shared" si="12"/>
        <v>0.59049047885240769</v>
      </c>
      <c r="Q95" s="15">
        <v>10.141588389358237</v>
      </c>
      <c r="R95" s="15">
        <v>76.379649869045494</v>
      </c>
      <c r="S95" s="15">
        <v>13.478761741596266</v>
      </c>
      <c r="T95" s="15">
        <f t="shared" si="13"/>
        <v>89.858411610641753</v>
      </c>
      <c r="U95" s="3">
        <v>332.5</v>
      </c>
      <c r="V95" s="3">
        <v>1.5</v>
      </c>
      <c r="W95" s="12">
        <v>45.59</v>
      </c>
      <c r="X95" s="13">
        <v>375</v>
      </c>
      <c r="Y95" s="13">
        <v>199.3</v>
      </c>
      <c r="Z95" s="13">
        <v>2945</v>
      </c>
    </row>
    <row r="96" spans="1:26" x14ac:dyDescent="0.55000000000000004">
      <c r="A96" s="2">
        <v>95</v>
      </c>
      <c r="C96" s="2" t="s">
        <v>101</v>
      </c>
      <c r="D96" s="2">
        <v>50</v>
      </c>
      <c r="E96" s="4">
        <v>2</v>
      </c>
      <c r="F96" s="2">
        <v>-93.960111999999995</v>
      </c>
      <c r="G96" s="2">
        <v>41.203615999999997</v>
      </c>
      <c r="H96" s="2" t="s">
        <v>23</v>
      </c>
      <c r="I96" s="2">
        <v>4</v>
      </c>
      <c r="J96" s="2" t="s">
        <v>38</v>
      </c>
      <c r="K96" s="3">
        <f t="shared" si="10"/>
        <v>102.96287278352</v>
      </c>
      <c r="L96" s="3">
        <v>94.614666666666665</v>
      </c>
      <c r="M96" s="3">
        <v>211.88</v>
      </c>
      <c r="N96" s="3">
        <f t="shared" si="14"/>
        <v>117.26533333333333</v>
      </c>
      <c r="O96" s="3">
        <f t="shared" si="11"/>
        <v>1.1389089111750439</v>
      </c>
      <c r="P96" s="3">
        <f t="shared" si="12"/>
        <v>0.57022305238677595</v>
      </c>
      <c r="Q96" s="15">
        <v>5.3261543229005337</v>
      </c>
      <c r="R96" s="15">
        <v>87.289285714285697</v>
      </c>
      <c r="S96" s="15">
        <v>7.3845599628137579</v>
      </c>
      <c r="T96" s="15">
        <f t="shared" si="13"/>
        <v>94.67384567709945</v>
      </c>
      <c r="U96" s="3">
        <v>621</v>
      </c>
      <c r="V96" s="3">
        <v>6</v>
      </c>
      <c r="W96" s="12">
        <v>100.8</v>
      </c>
      <c r="X96" s="13">
        <v>417.7</v>
      </c>
      <c r="Y96" s="13">
        <v>258.60000000000002</v>
      </c>
      <c r="Z96" s="13">
        <v>3853</v>
      </c>
    </row>
    <row r="97" spans="1:26" x14ac:dyDescent="0.55000000000000004">
      <c r="A97" s="2">
        <v>96</v>
      </c>
      <c r="C97" s="2" t="s">
        <v>109</v>
      </c>
      <c r="D97" s="2">
        <v>51</v>
      </c>
      <c r="E97" s="4">
        <v>1</v>
      </c>
      <c r="F97" s="7">
        <v>-94.703275000000005</v>
      </c>
      <c r="G97" s="7">
        <v>42.166463</v>
      </c>
      <c r="H97" s="2" t="s">
        <v>22</v>
      </c>
      <c r="I97" s="2">
        <v>2</v>
      </c>
      <c r="J97" s="2">
        <v>103</v>
      </c>
      <c r="K97" s="3">
        <f t="shared" si="10"/>
        <v>102.96287278352</v>
      </c>
      <c r="L97" s="3">
        <v>94.614666666666665</v>
      </c>
      <c r="M97" s="3">
        <v>197.58</v>
      </c>
      <c r="N97" s="3">
        <f t="shared" si="14"/>
        <v>102.96533333333335</v>
      </c>
      <c r="O97" s="3">
        <f t="shared" si="11"/>
        <v>1.0000238974471751</v>
      </c>
      <c r="P97" s="3">
        <f t="shared" si="12"/>
        <v>0.62263249152936784</v>
      </c>
      <c r="Q97" s="15">
        <v>14.01841864449681</v>
      </c>
      <c r="R97" s="15">
        <v>77.211460057241851</v>
      </c>
      <c r="S97" s="15">
        <v>8.7701212982613264</v>
      </c>
      <c r="T97" s="15">
        <f t="shared" si="13"/>
        <v>85.981581355503181</v>
      </c>
      <c r="U97" s="3">
        <v>382</v>
      </c>
      <c r="V97" s="3">
        <v>7</v>
      </c>
      <c r="W97" s="12">
        <v>8.8800000000000008</v>
      </c>
      <c r="X97" s="13">
        <v>438.9</v>
      </c>
      <c r="Y97" s="13">
        <v>79.180000000000007</v>
      </c>
      <c r="Z97" s="13">
        <v>4672</v>
      </c>
    </row>
    <row r="98" spans="1:26" x14ac:dyDescent="0.55000000000000004">
      <c r="A98" s="2">
        <v>97</v>
      </c>
      <c r="C98" s="2" t="s">
        <v>114</v>
      </c>
      <c r="D98" s="2">
        <v>52</v>
      </c>
      <c r="E98" s="4">
        <v>1</v>
      </c>
      <c r="F98" s="7">
        <v>-93.558700999999999</v>
      </c>
      <c r="G98" s="7">
        <v>42.125295000000001</v>
      </c>
      <c r="H98" s="2" t="s">
        <v>22</v>
      </c>
      <c r="I98" s="2">
        <v>4</v>
      </c>
      <c r="J98" s="2">
        <v>103</v>
      </c>
      <c r="K98" s="3">
        <f t="shared" ref="K98:K149" si="15">3.14159*(2.54^2)*5.08</f>
        <v>102.96287278352</v>
      </c>
      <c r="L98" s="3">
        <v>94.614666666666665</v>
      </c>
      <c r="M98" s="3">
        <v>230.87</v>
      </c>
      <c r="N98" s="3">
        <f t="shared" si="14"/>
        <v>136.25533333333334</v>
      </c>
      <c r="O98" s="3">
        <f t="shared" ref="O98:O103" si="16">N98/K98</f>
        <v>1.3233443245101653</v>
      </c>
      <c r="P98" s="3">
        <f t="shared" ref="P98:P103" si="17">1-(O98/2.65)</f>
        <v>0.50062478320371118</v>
      </c>
      <c r="Q98" s="15">
        <v>62.374166041609094</v>
      </c>
      <c r="R98" s="15">
        <v>31.154190517547665</v>
      </c>
      <c r="S98" s="15">
        <v>6.4716434408432351</v>
      </c>
      <c r="T98" s="15">
        <f t="shared" si="13"/>
        <v>37.625833958390899</v>
      </c>
      <c r="U98" s="3">
        <v>258.5</v>
      </c>
      <c r="V98" s="3">
        <v>5.5000000000000142</v>
      </c>
      <c r="W98" s="12">
        <v>11.84</v>
      </c>
      <c r="X98" s="13">
        <v>489.8</v>
      </c>
      <c r="Y98" s="13">
        <v>91.43</v>
      </c>
      <c r="Z98" s="13">
        <v>1679</v>
      </c>
    </row>
    <row r="99" spans="1:26" x14ac:dyDescent="0.55000000000000004">
      <c r="A99" s="2">
        <v>98</v>
      </c>
      <c r="C99" s="2" t="s">
        <v>114</v>
      </c>
      <c r="D99" s="2">
        <v>52</v>
      </c>
      <c r="E99" s="4">
        <v>2</v>
      </c>
      <c r="F99" s="7">
        <v>-93.558700999999999</v>
      </c>
      <c r="G99" s="7">
        <v>42.125295000000001</v>
      </c>
      <c r="H99" s="2" t="s">
        <v>23</v>
      </c>
      <c r="I99" s="2">
        <v>4</v>
      </c>
      <c r="J99" s="2">
        <v>103</v>
      </c>
      <c r="K99" s="3">
        <f t="shared" si="15"/>
        <v>102.96287278352</v>
      </c>
      <c r="L99" s="3">
        <v>94.614666666666665</v>
      </c>
      <c r="M99" s="3">
        <v>213.49</v>
      </c>
      <c r="N99" s="3">
        <f t="shared" si="14"/>
        <v>118.87533333333334</v>
      </c>
      <c r="O99" s="3">
        <f t="shared" si="16"/>
        <v>1.1545456155178322</v>
      </c>
      <c r="P99" s="3">
        <f t="shared" si="17"/>
        <v>0.56432240923855392</v>
      </c>
      <c r="Q99" s="15">
        <v>32.723354193235878</v>
      </c>
      <c r="R99" s="15">
        <v>57.117872289942738</v>
      </c>
      <c r="S99" s="15">
        <v>10.158773516821382</v>
      </c>
      <c r="T99" s="15">
        <f t="shared" si="13"/>
        <v>67.276645806764122</v>
      </c>
      <c r="U99" s="3">
        <v>553.5</v>
      </c>
      <c r="V99" s="3">
        <v>36.5</v>
      </c>
      <c r="W99" s="12">
        <v>16.21</v>
      </c>
      <c r="X99" s="13">
        <v>90.79</v>
      </c>
      <c r="Y99" s="13">
        <v>269.89999999999998</v>
      </c>
      <c r="Z99" s="13">
        <v>4642</v>
      </c>
    </row>
    <row r="100" spans="1:26" x14ac:dyDescent="0.55000000000000004">
      <c r="A100" s="2">
        <v>99</v>
      </c>
      <c r="C100" s="2" t="s">
        <v>114</v>
      </c>
      <c r="D100" s="2">
        <v>52</v>
      </c>
      <c r="E100" s="4">
        <v>3</v>
      </c>
      <c r="F100" s="7">
        <v>-93.558700999999999</v>
      </c>
      <c r="G100" s="7">
        <v>42.125295000000001</v>
      </c>
      <c r="H100" s="2" t="s">
        <v>24</v>
      </c>
      <c r="I100" s="2">
        <v>4</v>
      </c>
      <c r="J100" s="2">
        <v>103</v>
      </c>
      <c r="K100" s="3">
        <f t="shared" si="15"/>
        <v>102.96287278352</v>
      </c>
      <c r="L100" s="3">
        <v>94.614666666666665</v>
      </c>
      <c r="M100" s="3">
        <v>216.41</v>
      </c>
      <c r="N100" s="3">
        <f t="shared" si="14"/>
        <v>121.79533333333333</v>
      </c>
      <c r="O100" s="3">
        <f t="shared" si="16"/>
        <v>1.1829053525867395</v>
      </c>
      <c r="P100" s="3">
        <f t="shared" si="17"/>
        <v>0.5536206216653814</v>
      </c>
      <c r="Q100" s="15">
        <v>51.373620892604222</v>
      </c>
      <c r="R100" s="15">
        <v>31.947531073559034</v>
      </c>
      <c r="S100" s="15">
        <v>16.678848033836751</v>
      </c>
      <c r="T100" s="15">
        <f t="shared" si="13"/>
        <v>48.626379107395785</v>
      </c>
      <c r="U100" s="3">
        <v>740</v>
      </c>
      <c r="V100" s="3">
        <v>51</v>
      </c>
      <c r="W100" s="12">
        <v>59.57</v>
      </c>
      <c r="X100" s="13">
        <v>14.36</v>
      </c>
      <c r="Y100" s="13">
        <v>404.5</v>
      </c>
      <c r="Z100" s="13">
        <v>5576</v>
      </c>
    </row>
    <row r="101" spans="1:26" x14ac:dyDescent="0.55000000000000004">
      <c r="A101" s="2">
        <v>100</v>
      </c>
      <c r="C101" s="2" t="s">
        <v>117</v>
      </c>
      <c r="D101" s="2">
        <v>53</v>
      </c>
      <c r="E101" s="4">
        <v>1</v>
      </c>
      <c r="F101" s="7">
        <v>-94.175939999999997</v>
      </c>
      <c r="G101" s="7">
        <v>43.038223000000002</v>
      </c>
      <c r="H101" s="2" t="s">
        <v>22</v>
      </c>
      <c r="I101" s="2">
        <v>1</v>
      </c>
      <c r="J101" s="2">
        <v>103</v>
      </c>
      <c r="K101" s="3">
        <f t="shared" si="15"/>
        <v>102.96287278352</v>
      </c>
      <c r="L101" s="3">
        <v>94.614666666666665</v>
      </c>
      <c r="M101" s="3">
        <v>212.14</v>
      </c>
      <c r="N101" s="3">
        <f t="shared" si="14"/>
        <v>117.52533333333332</v>
      </c>
      <c r="O101" s="3">
        <f t="shared" si="16"/>
        <v>1.1414340932428233</v>
      </c>
      <c r="P101" s="3">
        <f t="shared" si="17"/>
        <v>0.56927015349327426</v>
      </c>
      <c r="Q101" s="15">
        <v>38.800845481338882</v>
      </c>
      <c r="R101" s="15">
        <v>43.757395480842696</v>
      </c>
      <c r="S101" s="15">
        <v>17.441759037818422</v>
      </c>
      <c r="T101" s="15">
        <f t="shared" si="13"/>
        <v>61.199154518661118</v>
      </c>
      <c r="U101" s="3">
        <v>430.5</v>
      </c>
      <c r="V101" s="3">
        <v>28.500000000000028</v>
      </c>
      <c r="W101" s="12">
        <v>3.88</v>
      </c>
      <c r="X101" s="13">
        <v>18.579999999999998</v>
      </c>
      <c r="Y101" s="13">
        <v>164</v>
      </c>
      <c r="Z101" s="13">
        <v>4458</v>
      </c>
    </row>
    <row r="102" spans="1:26" x14ac:dyDescent="0.55000000000000004">
      <c r="A102" s="2">
        <v>101</v>
      </c>
      <c r="C102" s="2" t="s">
        <v>117</v>
      </c>
      <c r="D102" s="2">
        <v>53</v>
      </c>
      <c r="E102" s="4">
        <v>2</v>
      </c>
      <c r="F102" s="7">
        <v>-94.175939999999997</v>
      </c>
      <c r="G102" s="7">
        <v>43.038223000000002</v>
      </c>
      <c r="H102" s="2" t="s">
        <v>24</v>
      </c>
      <c r="I102" s="2">
        <v>1</v>
      </c>
      <c r="J102" s="2">
        <v>103</v>
      </c>
      <c r="K102" s="3">
        <f t="shared" si="15"/>
        <v>102.96287278352</v>
      </c>
      <c r="L102" s="3">
        <v>94.614666666666665</v>
      </c>
      <c r="M102" s="3">
        <v>246.73</v>
      </c>
      <c r="N102" s="3">
        <f t="shared" si="14"/>
        <v>152.11533333333333</v>
      </c>
      <c r="O102" s="3">
        <f t="shared" si="16"/>
        <v>1.4773804306447105</v>
      </c>
      <c r="P102" s="3">
        <f t="shared" si="17"/>
        <v>0.44249795070010922</v>
      </c>
      <c r="Q102" s="15">
        <v>38.204299702418922</v>
      </c>
      <c r="R102" s="15">
        <v>43.1333988077116</v>
      </c>
      <c r="S102" s="15">
        <v>18.662301489869485</v>
      </c>
      <c r="T102" s="15">
        <f t="shared" si="13"/>
        <v>61.795700297581085</v>
      </c>
      <c r="U102" s="3">
        <v>369</v>
      </c>
      <c r="V102" s="3">
        <v>11</v>
      </c>
      <c r="W102" s="12">
        <v>1.23</v>
      </c>
      <c r="X102" s="13">
        <v>1.19</v>
      </c>
      <c r="Y102" s="13">
        <v>193.6</v>
      </c>
      <c r="Z102" s="13">
        <v>5144</v>
      </c>
    </row>
    <row r="103" spans="1:26" x14ac:dyDescent="0.55000000000000004">
      <c r="A103" s="2">
        <v>102</v>
      </c>
      <c r="C103" s="2" t="s">
        <v>116</v>
      </c>
      <c r="D103" s="2">
        <v>54</v>
      </c>
      <c r="E103" s="4">
        <v>1</v>
      </c>
      <c r="F103" s="7">
        <v>-93.557688999999996</v>
      </c>
      <c r="G103" s="7">
        <v>42.939602000000001</v>
      </c>
      <c r="H103" s="2" t="s">
        <v>23</v>
      </c>
      <c r="I103" s="2">
        <v>1</v>
      </c>
      <c r="J103" s="2">
        <v>103</v>
      </c>
      <c r="K103" s="3">
        <f t="shared" si="15"/>
        <v>102.96287278352</v>
      </c>
      <c r="L103" s="3">
        <v>94.614666666666665</v>
      </c>
      <c r="M103" s="3">
        <v>217.14</v>
      </c>
      <c r="N103" s="3">
        <f t="shared" si="14"/>
        <v>122.52533333333332</v>
      </c>
      <c r="O103" s="3">
        <f t="shared" si="16"/>
        <v>1.1899952868539663</v>
      </c>
      <c r="P103" s="3">
        <f t="shared" si="17"/>
        <v>0.55094517477208815</v>
      </c>
      <c r="Q103" s="15">
        <v>41.853629098978978</v>
      </c>
      <c r="R103" s="15">
        <v>43.72607091756781</v>
      </c>
      <c r="S103" s="15">
        <v>14.420299983453214</v>
      </c>
      <c r="T103" s="15">
        <f t="shared" si="13"/>
        <v>58.146370901021022</v>
      </c>
      <c r="U103" s="3">
        <v>643.5</v>
      </c>
      <c r="V103" s="3">
        <v>16.5</v>
      </c>
      <c r="W103" s="12">
        <v>87.76</v>
      </c>
      <c r="X103" s="13">
        <v>33.53</v>
      </c>
      <c r="Y103" s="13">
        <v>303.7</v>
      </c>
      <c r="Z103" s="13">
        <v>5398</v>
      </c>
    </row>
    <row r="104" spans="1:26" x14ac:dyDescent="0.55000000000000004">
      <c r="A104" s="2">
        <v>103</v>
      </c>
      <c r="C104" s="2" t="s">
        <v>115</v>
      </c>
      <c r="D104" s="2">
        <v>55</v>
      </c>
      <c r="E104" s="4">
        <v>1</v>
      </c>
      <c r="F104" s="7">
        <v>-93.697823999999997</v>
      </c>
      <c r="G104" s="7">
        <v>42.937176999999998</v>
      </c>
      <c r="H104" s="2" t="s">
        <v>22</v>
      </c>
      <c r="I104" s="2">
        <v>4</v>
      </c>
      <c r="J104" s="2">
        <v>103</v>
      </c>
      <c r="K104" s="3">
        <f t="shared" si="15"/>
        <v>102.96287278352</v>
      </c>
      <c r="L104" s="3">
        <v>94.614666666666665</v>
      </c>
      <c r="M104" s="3">
        <v>216.34</v>
      </c>
      <c r="N104" s="3">
        <f t="shared" ref="N104:N149" si="18">M104-L104</f>
        <v>121.72533333333334</v>
      </c>
      <c r="O104" s="3">
        <f t="shared" ref="O104:O149" si="19">N104/K104</f>
        <v>1.1822254958761835</v>
      </c>
      <c r="P104" s="3">
        <f t="shared" ref="P104:P149" si="20">1-(O104/2.65)</f>
        <v>0.55387717136747794</v>
      </c>
      <c r="Q104" s="15">
        <v>47.838498786987117</v>
      </c>
      <c r="R104" s="15">
        <v>36.043597338191894</v>
      </c>
      <c r="S104" s="15">
        <v>16.117903874820982</v>
      </c>
      <c r="T104" s="15">
        <f t="shared" si="13"/>
        <v>52.161501213012876</v>
      </c>
      <c r="U104" s="3">
        <v>476.5</v>
      </c>
      <c r="V104" s="3">
        <v>30.5</v>
      </c>
      <c r="W104" s="12">
        <v>16.89</v>
      </c>
      <c r="X104" s="13">
        <v>7.85</v>
      </c>
      <c r="Y104" s="13">
        <v>394</v>
      </c>
      <c r="Z104" s="13">
        <v>4751</v>
      </c>
    </row>
    <row r="105" spans="1:26" x14ac:dyDescent="0.55000000000000004">
      <c r="A105" s="2">
        <v>104</v>
      </c>
      <c r="C105" s="2" t="s">
        <v>115</v>
      </c>
      <c r="D105" s="2">
        <v>55</v>
      </c>
      <c r="E105" s="4">
        <v>2</v>
      </c>
      <c r="F105" s="7">
        <v>-93.697823999999997</v>
      </c>
      <c r="G105" s="7">
        <v>42.937176999999998</v>
      </c>
      <c r="H105" s="2" t="s">
        <v>23</v>
      </c>
      <c r="I105" s="2">
        <v>4</v>
      </c>
      <c r="J105" s="2">
        <v>103</v>
      </c>
      <c r="K105" s="3">
        <f t="shared" si="15"/>
        <v>102.96287278352</v>
      </c>
      <c r="L105" s="3">
        <v>94.614666666666665</v>
      </c>
      <c r="M105" s="3">
        <v>222.36</v>
      </c>
      <c r="N105" s="3">
        <f t="shared" si="18"/>
        <v>127.74533333333335</v>
      </c>
      <c r="O105" s="3">
        <f t="shared" si="19"/>
        <v>1.2406931729839998</v>
      </c>
      <c r="P105" s="3">
        <f t="shared" si="20"/>
        <v>0.53181389698716985</v>
      </c>
      <c r="Q105" s="15">
        <v>52.380580095379592</v>
      </c>
      <c r="R105" s="15">
        <v>43.000336173872228</v>
      </c>
      <c r="S105" s="15">
        <v>4.6190837307481782</v>
      </c>
      <c r="T105" s="15">
        <f t="shared" si="13"/>
        <v>47.619419904620408</v>
      </c>
      <c r="U105" s="3">
        <v>404.5</v>
      </c>
      <c r="V105" s="3">
        <v>2.5000000000000284</v>
      </c>
      <c r="W105" s="12">
        <v>12.62</v>
      </c>
      <c r="X105" s="13">
        <v>517.70000000000005</v>
      </c>
      <c r="Y105" s="13">
        <v>86.27</v>
      </c>
      <c r="Z105" s="13">
        <v>2648</v>
      </c>
    </row>
    <row r="106" spans="1:26" x14ac:dyDescent="0.55000000000000004">
      <c r="A106" s="2">
        <v>105</v>
      </c>
      <c r="C106" s="2" t="s">
        <v>115</v>
      </c>
      <c r="D106" s="2">
        <v>55</v>
      </c>
      <c r="E106" s="4">
        <v>3</v>
      </c>
      <c r="F106" s="7">
        <v>-93.697823999999997</v>
      </c>
      <c r="G106" s="7">
        <v>42.937176999999998</v>
      </c>
      <c r="H106" s="2" t="s">
        <v>23</v>
      </c>
      <c r="I106" s="2">
        <v>4</v>
      </c>
      <c r="J106" s="2">
        <v>103</v>
      </c>
      <c r="K106" s="3">
        <f t="shared" si="15"/>
        <v>102.96287278352</v>
      </c>
      <c r="L106" s="3">
        <v>94.614666666666665</v>
      </c>
      <c r="M106" s="3">
        <v>258.51</v>
      </c>
      <c r="N106" s="3">
        <f t="shared" si="18"/>
        <v>163.89533333333333</v>
      </c>
      <c r="O106" s="3">
        <f t="shared" si="19"/>
        <v>1.5917906027925635</v>
      </c>
      <c r="P106" s="3">
        <f t="shared" si="20"/>
        <v>0.39932430083299486</v>
      </c>
      <c r="Q106" s="15">
        <v>44.725688951387689</v>
      </c>
      <c r="R106" s="15">
        <v>37.089062713618858</v>
      </c>
      <c r="S106" s="15">
        <v>18.18524833499345</v>
      </c>
      <c r="T106" s="15">
        <f t="shared" si="13"/>
        <v>55.274311048612304</v>
      </c>
      <c r="U106" s="3">
        <v>309.5</v>
      </c>
      <c r="V106" s="3">
        <v>11.5</v>
      </c>
      <c r="W106" s="12">
        <v>7.76</v>
      </c>
      <c r="X106" s="13">
        <v>5.0599999999999996</v>
      </c>
      <c r="Y106" s="13">
        <v>237</v>
      </c>
      <c r="Z106" s="13">
        <v>4954</v>
      </c>
    </row>
    <row r="107" spans="1:26" x14ac:dyDescent="0.55000000000000004">
      <c r="A107" s="2">
        <v>106</v>
      </c>
      <c r="C107" s="2" t="s">
        <v>112</v>
      </c>
      <c r="D107" s="2">
        <v>56</v>
      </c>
      <c r="E107" s="4">
        <v>1</v>
      </c>
      <c r="F107" s="7">
        <v>-93.281311000000002</v>
      </c>
      <c r="G107" s="7">
        <v>42.753081999999999</v>
      </c>
      <c r="H107" s="2" t="s">
        <v>22</v>
      </c>
      <c r="I107" s="2">
        <v>2</v>
      </c>
      <c r="J107" s="2">
        <v>103</v>
      </c>
      <c r="K107" s="3">
        <f t="shared" si="15"/>
        <v>102.96287278352</v>
      </c>
      <c r="L107" s="3">
        <v>94.614666666666665</v>
      </c>
      <c r="M107" s="3">
        <v>204.82</v>
      </c>
      <c r="N107" s="3">
        <f t="shared" si="18"/>
        <v>110.20533333333333</v>
      </c>
      <c r="O107" s="3">
        <f t="shared" si="19"/>
        <v>1.07034050579611</v>
      </c>
      <c r="P107" s="3">
        <f t="shared" si="20"/>
        <v>0.59609792234109049</v>
      </c>
      <c r="Q107" s="15">
        <v>5.3694478417802616</v>
      </c>
      <c r="R107" s="15">
        <v>44.856996688840503</v>
      </c>
      <c r="S107" s="15">
        <v>49.773555469379232</v>
      </c>
      <c r="T107" s="15">
        <f t="shared" si="13"/>
        <v>94.630552158219729</v>
      </c>
      <c r="U107" s="3">
        <v>810</v>
      </c>
      <c r="V107" s="3">
        <v>34.999999999999943</v>
      </c>
      <c r="W107" s="12">
        <v>50.37</v>
      </c>
      <c r="X107" s="13">
        <v>39.79</v>
      </c>
      <c r="Y107" s="13">
        <v>231.1</v>
      </c>
      <c r="Z107" s="13">
        <v>9506</v>
      </c>
    </row>
    <row r="108" spans="1:26" x14ac:dyDescent="0.55000000000000004">
      <c r="A108" s="2">
        <v>107</v>
      </c>
      <c r="C108" s="2" t="s">
        <v>112</v>
      </c>
      <c r="D108" s="2">
        <v>56</v>
      </c>
      <c r="E108" s="4">
        <v>2</v>
      </c>
      <c r="F108" s="7">
        <v>-93.281311000000002</v>
      </c>
      <c r="G108" s="7">
        <v>42.753081999999999</v>
      </c>
      <c r="H108" s="2" t="s">
        <v>24</v>
      </c>
      <c r="I108" s="2">
        <v>2</v>
      </c>
      <c r="J108" s="2">
        <v>103</v>
      </c>
      <c r="K108" s="3">
        <f t="shared" si="15"/>
        <v>102.96287278352</v>
      </c>
      <c r="L108" s="3">
        <v>94.614666666666665</v>
      </c>
      <c r="M108" s="3">
        <v>197.89</v>
      </c>
      <c r="N108" s="3">
        <f t="shared" si="18"/>
        <v>103.27533333333332</v>
      </c>
      <c r="O108" s="3">
        <f t="shared" si="19"/>
        <v>1.0030346914510657</v>
      </c>
      <c r="P108" s="3">
        <f t="shared" si="20"/>
        <v>0.6214963428486544</v>
      </c>
      <c r="Q108" s="15">
        <v>6.6154295164899279</v>
      </c>
      <c r="R108" s="15">
        <v>43.820916431559489</v>
      </c>
      <c r="S108" s="15">
        <v>49.563654051950593</v>
      </c>
      <c r="T108" s="15">
        <f t="shared" si="13"/>
        <v>93.384570483510089</v>
      </c>
      <c r="U108" s="3">
        <v>792.5</v>
      </c>
      <c r="V108" s="3">
        <v>17.5</v>
      </c>
      <c r="W108" s="12">
        <v>54.59</v>
      </c>
      <c r="X108" s="13">
        <v>105.9</v>
      </c>
      <c r="Y108" s="13">
        <v>427</v>
      </c>
      <c r="Z108" s="13">
        <v>8954</v>
      </c>
    </row>
    <row r="109" spans="1:26" x14ac:dyDescent="0.55000000000000004">
      <c r="A109" s="2">
        <v>108</v>
      </c>
      <c r="C109" s="2" t="s">
        <v>120</v>
      </c>
      <c r="D109" s="2">
        <v>57</v>
      </c>
      <c r="E109" s="4">
        <v>1</v>
      </c>
      <c r="F109" s="7">
        <v>-93.467918999999995</v>
      </c>
      <c r="G109" s="7">
        <v>42.581544000000001</v>
      </c>
      <c r="H109" s="2" t="s">
        <v>22</v>
      </c>
      <c r="I109" s="2">
        <v>5</v>
      </c>
      <c r="J109" s="2">
        <v>103</v>
      </c>
      <c r="K109" s="3">
        <f t="shared" si="15"/>
        <v>102.96287278352</v>
      </c>
      <c r="L109" s="3">
        <v>94.614666666666665</v>
      </c>
      <c r="M109" s="3">
        <v>254.33</v>
      </c>
      <c r="N109" s="3">
        <f t="shared" si="18"/>
        <v>159.71533333333335</v>
      </c>
      <c r="O109" s="3">
        <f t="shared" si="19"/>
        <v>1.5511934449336482</v>
      </c>
      <c r="P109" s="3">
        <f t="shared" si="20"/>
        <v>0.41464398304390637</v>
      </c>
      <c r="Q109" s="15">
        <v>50.965771625748658</v>
      </c>
      <c r="R109" s="15">
        <v>33.481430214571844</v>
      </c>
      <c r="S109" s="15">
        <v>15.55279815967949</v>
      </c>
      <c r="T109" s="15">
        <f t="shared" si="13"/>
        <v>49.034228374251335</v>
      </c>
      <c r="U109" s="3">
        <v>268</v>
      </c>
      <c r="V109" s="3">
        <v>11</v>
      </c>
      <c r="W109" s="12">
        <v>8.0500000000000007</v>
      </c>
      <c r="X109" s="13">
        <v>1.08</v>
      </c>
      <c r="Y109" s="13">
        <v>121.7</v>
      </c>
      <c r="Z109" s="13">
        <v>4538</v>
      </c>
    </row>
    <row r="110" spans="1:26" x14ac:dyDescent="0.55000000000000004">
      <c r="A110" s="2">
        <v>109</v>
      </c>
      <c r="C110" s="2" t="s">
        <v>120</v>
      </c>
      <c r="D110" s="2">
        <v>57</v>
      </c>
      <c r="E110" s="4">
        <v>2</v>
      </c>
      <c r="F110" s="7">
        <v>-93.467918999999995</v>
      </c>
      <c r="G110" s="7">
        <v>42.581544000000001</v>
      </c>
      <c r="H110" s="2" t="s">
        <v>23</v>
      </c>
      <c r="I110" s="2">
        <v>5</v>
      </c>
      <c r="J110" s="2">
        <v>103</v>
      </c>
      <c r="K110" s="3">
        <f t="shared" si="15"/>
        <v>102.96287278352</v>
      </c>
      <c r="L110" s="3">
        <v>94.614666666666665</v>
      </c>
      <c r="M110" s="3">
        <v>262.32</v>
      </c>
      <c r="N110" s="3">
        <f t="shared" si="18"/>
        <v>167.70533333333333</v>
      </c>
      <c r="O110" s="3">
        <f t="shared" si="19"/>
        <v>1.6287942323242544</v>
      </c>
      <c r="P110" s="3">
        <f t="shared" si="20"/>
        <v>0.3853606670474512</v>
      </c>
      <c r="Q110" s="15">
        <v>50.609074324721917</v>
      </c>
      <c r="R110" s="15">
        <v>33.457364797269463</v>
      </c>
      <c r="S110" s="15">
        <v>15.933560878008628</v>
      </c>
      <c r="T110" s="15">
        <f t="shared" si="13"/>
        <v>49.390925675278091</v>
      </c>
      <c r="U110" s="3">
        <v>265</v>
      </c>
      <c r="V110" s="3">
        <v>5</v>
      </c>
      <c r="W110" s="12">
        <v>1.67</v>
      </c>
      <c r="X110" s="13">
        <v>0.36</v>
      </c>
      <c r="Y110" s="13">
        <v>117</v>
      </c>
      <c r="Z110" s="13">
        <v>3973</v>
      </c>
    </row>
    <row r="111" spans="1:26" x14ac:dyDescent="0.55000000000000004">
      <c r="A111" s="2">
        <v>110</v>
      </c>
      <c r="C111" s="2" t="s">
        <v>120</v>
      </c>
      <c r="D111" s="2">
        <v>57</v>
      </c>
      <c r="E111" s="4">
        <v>3</v>
      </c>
      <c r="F111" s="7">
        <v>-93.467918999999995</v>
      </c>
      <c r="G111" s="7">
        <v>42.581544000000001</v>
      </c>
      <c r="H111" s="2" t="s">
        <v>23</v>
      </c>
      <c r="I111" s="2">
        <v>5</v>
      </c>
      <c r="J111" s="2">
        <v>103</v>
      </c>
      <c r="K111" s="3">
        <f t="shared" si="15"/>
        <v>102.96287278352</v>
      </c>
      <c r="L111" s="3">
        <v>94.614666666666665</v>
      </c>
      <c r="M111" s="3">
        <v>209.38</v>
      </c>
      <c r="N111" s="3">
        <f t="shared" si="18"/>
        <v>114.76533333333333</v>
      </c>
      <c r="O111" s="3">
        <f t="shared" si="19"/>
        <v>1.1146283143694724</v>
      </c>
      <c r="P111" s="3">
        <f t="shared" si="20"/>
        <v>0.57938554174736889</v>
      </c>
      <c r="Q111" s="15">
        <v>9.9238516335052971</v>
      </c>
      <c r="R111" s="15">
        <v>39.908376320314417</v>
      </c>
      <c r="S111" s="15">
        <v>50.167772046180303</v>
      </c>
      <c r="T111" s="15">
        <f t="shared" si="13"/>
        <v>90.076148366494721</v>
      </c>
      <c r="U111" s="3">
        <v>499.5</v>
      </c>
      <c r="V111" s="3">
        <v>13.499999999999972</v>
      </c>
      <c r="W111" s="12">
        <v>7.71</v>
      </c>
      <c r="X111" s="13">
        <v>107.3</v>
      </c>
      <c r="Y111" s="13">
        <v>177</v>
      </c>
      <c r="Z111" s="13">
        <v>4411</v>
      </c>
    </row>
    <row r="112" spans="1:26" x14ac:dyDescent="0.55000000000000004">
      <c r="A112" s="2">
        <v>111</v>
      </c>
      <c r="C112" s="2" t="s">
        <v>113</v>
      </c>
      <c r="D112" s="2">
        <v>58</v>
      </c>
      <c r="E112" s="4">
        <v>1</v>
      </c>
      <c r="F112" s="7">
        <v>-94.008853000000002</v>
      </c>
      <c r="G112" s="7">
        <v>42.427598000000003</v>
      </c>
      <c r="H112" s="2" t="s">
        <v>22</v>
      </c>
      <c r="I112" s="2">
        <v>3</v>
      </c>
      <c r="J112" s="2">
        <v>103</v>
      </c>
      <c r="K112" s="3">
        <f t="shared" si="15"/>
        <v>102.96287278352</v>
      </c>
      <c r="L112" s="3">
        <v>94.614666666666665</v>
      </c>
      <c r="M112" s="3">
        <v>209.11</v>
      </c>
      <c r="N112" s="3">
        <f t="shared" si="18"/>
        <v>114.49533333333335</v>
      </c>
      <c r="O112" s="3">
        <f t="shared" si="19"/>
        <v>1.1120060099144708</v>
      </c>
      <c r="P112" s="3">
        <f t="shared" si="20"/>
        <v>0.58037509059831294</v>
      </c>
      <c r="Q112" s="15">
        <v>43.094966350505715</v>
      </c>
      <c r="R112" s="15">
        <v>35.292168129402967</v>
      </c>
      <c r="S112" s="15">
        <v>21.612865520091319</v>
      </c>
      <c r="T112" s="15">
        <f t="shared" si="13"/>
        <v>56.905033649494285</v>
      </c>
      <c r="U112" s="3">
        <v>711</v>
      </c>
      <c r="V112" s="3">
        <v>13</v>
      </c>
      <c r="W112" s="12">
        <v>47.58</v>
      </c>
      <c r="X112" s="13">
        <v>418.9</v>
      </c>
      <c r="Y112" s="13">
        <v>380.1</v>
      </c>
      <c r="Z112" s="13">
        <v>4145</v>
      </c>
    </row>
    <row r="113" spans="1:26" x14ac:dyDescent="0.55000000000000004">
      <c r="A113" s="2">
        <v>112</v>
      </c>
      <c r="C113" s="2" t="s">
        <v>113</v>
      </c>
      <c r="D113" s="2">
        <v>58</v>
      </c>
      <c r="E113" s="4">
        <v>1</v>
      </c>
      <c r="F113" s="7">
        <v>-94.008853000000002</v>
      </c>
      <c r="G113" s="7">
        <v>42.427598000000003</v>
      </c>
      <c r="H113" s="2" t="s">
        <v>22</v>
      </c>
      <c r="I113" s="2">
        <v>3</v>
      </c>
      <c r="J113" s="2">
        <v>103</v>
      </c>
      <c r="K113" s="3">
        <f t="shared" si="15"/>
        <v>102.96287278352</v>
      </c>
      <c r="L113" s="3">
        <v>94.614666666666665</v>
      </c>
      <c r="M113" s="3">
        <v>180.04</v>
      </c>
      <c r="N113" s="3">
        <f t="shared" si="18"/>
        <v>85.425333333333327</v>
      </c>
      <c r="O113" s="3">
        <f t="shared" si="19"/>
        <v>0.82967123025928535</v>
      </c>
      <c r="P113" s="3">
        <f t="shared" si="20"/>
        <v>0.68691651688328847</v>
      </c>
      <c r="Q113" s="15">
        <v>40.67047047442302</v>
      </c>
      <c r="R113" s="15">
        <v>35.102339539199619</v>
      </c>
      <c r="S113" s="15">
        <v>24.227189986377368</v>
      </c>
      <c r="T113" s="15">
        <f t="shared" si="13"/>
        <v>59.329529525576987</v>
      </c>
      <c r="U113" s="3">
        <v>523.5</v>
      </c>
      <c r="V113" s="3">
        <v>17.500000000000028</v>
      </c>
      <c r="W113" s="12">
        <v>36.840000000000003</v>
      </c>
      <c r="X113" s="13">
        <v>8.48</v>
      </c>
      <c r="Y113" s="13">
        <v>398.8</v>
      </c>
      <c r="Z113" s="13">
        <v>5343</v>
      </c>
    </row>
    <row r="114" spans="1:26" x14ac:dyDescent="0.55000000000000004">
      <c r="A114" s="2">
        <v>113</v>
      </c>
      <c r="C114" s="2" t="s">
        <v>110</v>
      </c>
      <c r="D114" s="2">
        <v>60</v>
      </c>
      <c r="E114" s="4">
        <v>1</v>
      </c>
      <c r="F114" s="7">
        <v>-95.240080000000006</v>
      </c>
      <c r="G114" s="7">
        <v>42.167636999999999</v>
      </c>
      <c r="H114" s="2" t="s">
        <v>22</v>
      </c>
      <c r="I114" s="2">
        <v>5</v>
      </c>
      <c r="J114" s="2" t="s">
        <v>39</v>
      </c>
      <c r="K114" s="3">
        <f t="shared" si="15"/>
        <v>102.96287278352</v>
      </c>
      <c r="L114" s="3">
        <v>94.614666666666665</v>
      </c>
      <c r="M114" s="3">
        <v>214.39</v>
      </c>
      <c r="N114" s="3">
        <f t="shared" si="18"/>
        <v>119.77533333333332</v>
      </c>
      <c r="O114" s="3">
        <f t="shared" si="19"/>
        <v>1.1632866303678377</v>
      </c>
      <c r="P114" s="3">
        <f t="shared" si="20"/>
        <v>0.56102391306874044</v>
      </c>
      <c r="Q114" s="15">
        <v>21.695139510448694</v>
      </c>
      <c r="R114" s="15">
        <v>38.222010351402886</v>
      </c>
      <c r="S114" s="15">
        <v>40.082850138148416</v>
      </c>
      <c r="T114" s="15">
        <f t="shared" si="13"/>
        <v>78.304860489551302</v>
      </c>
      <c r="U114" s="3">
        <v>458.5</v>
      </c>
      <c r="V114" s="3">
        <v>2.5000000000000568</v>
      </c>
      <c r="W114" s="12">
        <v>39.130000000000003</v>
      </c>
      <c r="X114" s="13">
        <v>414.9</v>
      </c>
      <c r="Y114" s="13">
        <v>325.5</v>
      </c>
      <c r="Z114" s="13">
        <v>3138</v>
      </c>
    </row>
    <row r="115" spans="1:26" x14ac:dyDescent="0.55000000000000004">
      <c r="A115" s="2">
        <v>114</v>
      </c>
      <c r="C115" s="2" t="s">
        <v>110</v>
      </c>
      <c r="D115" s="2">
        <v>60</v>
      </c>
      <c r="E115" s="4">
        <v>2</v>
      </c>
      <c r="F115" s="7">
        <v>-95.240080000000006</v>
      </c>
      <c r="G115" s="7">
        <v>42.167636999999999</v>
      </c>
      <c r="H115" s="2" t="s">
        <v>24</v>
      </c>
      <c r="I115" s="2">
        <v>5</v>
      </c>
      <c r="J115" s="2" t="s">
        <v>39</v>
      </c>
      <c r="K115" s="3">
        <f t="shared" si="15"/>
        <v>102.96287278352</v>
      </c>
      <c r="L115" s="3">
        <v>94.614666666666665</v>
      </c>
      <c r="M115" s="3">
        <v>225.77</v>
      </c>
      <c r="N115" s="3">
        <f t="shared" si="18"/>
        <v>131.15533333333335</v>
      </c>
      <c r="O115" s="3">
        <f t="shared" si="19"/>
        <v>1.2738119070267993</v>
      </c>
      <c r="P115" s="3">
        <f t="shared" si="20"/>
        <v>0.51931626149932097</v>
      </c>
      <c r="Q115" s="15">
        <v>39.581952189681417</v>
      </c>
      <c r="R115" s="15">
        <v>36.283476972273135</v>
      </c>
      <c r="S115" s="15">
        <v>24.134570838045448</v>
      </c>
      <c r="T115" s="15">
        <f t="shared" si="13"/>
        <v>60.418047810318583</v>
      </c>
      <c r="U115" s="3">
        <v>447</v>
      </c>
      <c r="V115" s="3">
        <v>12.000000000000028</v>
      </c>
      <c r="W115" s="12">
        <v>53.17</v>
      </c>
      <c r="X115" s="13">
        <v>401</v>
      </c>
      <c r="Y115" s="13">
        <v>386</v>
      </c>
      <c r="Z115" s="13">
        <v>2536</v>
      </c>
    </row>
    <row r="116" spans="1:26" x14ac:dyDescent="0.55000000000000004">
      <c r="A116" s="2">
        <v>115</v>
      </c>
      <c r="C116" s="2" t="s">
        <v>110</v>
      </c>
      <c r="D116" s="2">
        <v>60</v>
      </c>
      <c r="E116" s="4">
        <v>3</v>
      </c>
      <c r="F116" s="7">
        <v>-95.240080000000006</v>
      </c>
      <c r="G116" s="7">
        <v>42.167636999999999</v>
      </c>
      <c r="H116" s="2" t="s">
        <v>23</v>
      </c>
      <c r="I116" s="2">
        <v>5</v>
      </c>
      <c r="J116" s="2" t="s">
        <v>39</v>
      </c>
      <c r="K116" s="3">
        <f t="shared" si="15"/>
        <v>102.96287278352</v>
      </c>
      <c r="L116" s="3">
        <v>94.614666666666665</v>
      </c>
      <c r="M116" s="3">
        <v>206.41</v>
      </c>
      <c r="N116" s="3">
        <f t="shared" si="18"/>
        <v>111.79533333333333</v>
      </c>
      <c r="O116" s="3">
        <f t="shared" si="19"/>
        <v>1.0857829653644535</v>
      </c>
      <c r="P116" s="3">
        <f t="shared" si="20"/>
        <v>0.59027057910775338</v>
      </c>
      <c r="Q116" s="15">
        <v>63.571981310425244</v>
      </c>
      <c r="R116" s="15">
        <v>32.003541027926609</v>
      </c>
      <c r="S116" s="15">
        <v>4.4244776616481474</v>
      </c>
      <c r="T116" s="15">
        <f t="shared" si="13"/>
        <v>36.428018689574756</v>
      </c>
      <c r="U116" s="3">
        <v>546</v>
      </c>
      <c r="V116" s="3">
        <v>22</v>
      </c>
      <c r="W116" s="12">
        <v>34.18</v>
      </c>
      <c r="X116" s="13">
        <v>127.6</v>
      </c>
      <c r="Y116" s="13">
        <v>234.9</v>
      </c>
      <c r="Z116" s="13">
        <v>2891</v>
      </c>
    </row>
    <row r="117" spans="1:26" x14ac:dyDescent="0.55000000000000004">
      <c r="A117" s="2">
        <v>116</v>
      </c>
      <c r="C117" s="2" t="s">
        <v>124</v>
      </c>
      <c r="D117" s="2">
        <v>61</v>
      </c>
      <c r="E117" s="4">
        <v>1</v>
      </c>
      <c r="F117" s="7">
        <v>-95.536053999999993</v>
      </c>
      <c r="G117" s="7">
        <v>42.046576000000002</v>
      </c>
      <c r="H117" s="2" t="s">
        <v>22</v>
      </c>
      <c r="I117" s="2">
        <v>1</v>
      </c>
      <c r="J117" s="2" t="s">
        <v>39</v>
      </c>
      <c r="K117" s="3">
        <f t="shared" si="15"/>
        <v>102.96287278352</v>
      </c>
      <c r="L117" s="3">
        <v>94.614666666666665</v>
      </c>
      <c r="M117" s="3">
        <v>186.66</v>
      </c>
      <c r="N117" s="3">
        <f t="shared" si="18"/>
        <v>92.045333333333332</v>
      </c>
      <c r="O117" s="3">
        <f t="shared" si="19"/>
        <v>0.89396625060043877</v>
      </c>
      <c r="P117" s="3">
        <f t="shared" si="20"/>
        <v>0.66265424505643811</v>
      </c>
      <c r="Q117" s="15">
        <v>19.389192213454763</v>
      </c>
      <c r="R117" s="15">
        <v>38.705967240946883</v>
      </c>
      <c r="S117" s="15">
        <v>41.904840545598361</v>
      </c>
      <c r="T117" s="15">
        <f t="shared" si="13"/>
        <v>80.610807786545251</v>
      </c>
      <c r="U117" s="3">
        <v>632</v>
      </c>
      <c r="V117" s="3">
        <v>3</v>
      </c>
      <c r="W117" s="12">
        <v>30.86</v>
      </c>
      <c r="X117" s="13">
        <v>180.2</v>
      </c>
      <c r="Y117" s="13">
        <v>401.6</v>
      </c>
      <c r="Z117" s="13">
        <v>4399</v>
      </c>
    </row>
    <row r="118" spans="1:26" x14ac:dyDescent="0.55000000000000004">
      <c r="A118" s="2">
        <v>117</v>
      </c>
      <c r="C118" s="2" t="s">
        <v>124</v>
      </c>
      <c r="D118" s="2">
        <v>61</v>
      </c>
      <c r="E118" s="4">
        <v>2</v>
      </c>
      <c r="F118" s="7">
        <v>-95.536053999999993</v>
      </c>
      <c r="G118" s="7">
        <v>42.046576000000002</v>
      </c>
      <c r="H118" s="2" t="s">
        <v>24</v>
      </c>
      <c r="I118" s="2">
        <v>1</v>
      </c>
      <c r="J118" s="2" t="s">
        <v>39</v>
      </c>
      <c r="K118" s="3">
        <f t="shared" si="15"/>
        <v>102.96287278352</v>
      </c>
      <c r="L118" s="3">
        <v>94.614666666666665</v>
      </c>
      <c r="M118" s="3">
        <v>200.68</v>
      </c>
      <c r="N118" s="3">
        <f t="shared" si="18"/>
        <v>106.06533333333334</v>
      </c>
      <c r="O118" s="3">
        <f t="shared" si="19"/>
        <v>1.0301318374860837</v>
      </c>
      <c r="P118" s="3">
        <f t="shared" si="20"/>
        <v>0.6112710047222325</v>
      </c>
      <c r="Q118" s="15">
        <v>6.6318817964597416</v>
      </c>
      <c r="R118" s="15">
        <v>75.254703272053433</v>
      </c>
      <c r="S118" s="15">
        <v>18.113414931486808</v>
      </c>
      <c r="T118" s="15">
        <f t="shared" si="13"/>
        <v>93.368118203540234</v>
      </c>
      <c r="U118" s="3">
        <v>670</v>
      </c>
      <c r="V118" s="3">
        <v>24</v>
      </c>
      <c r="W118" s="12">
        <v>10.51</v>
      </c>
      <c r="X118" s="13">
        <v>8.4499999999999993</v>
      </c>
      <c r="Y118" s="13">
        <v>194.7</v>
      </c>
      <c r="Z118" s="13">
        <v>7107</v>
      </c>
    </row>
    <row r="119" spans="1:26" x14ac:dyDescent="0.55000000000000004">
      <c r="A119" s="2">
        <v>118</v>
      </c>
      <c r="C119" s="2" t="s">
        <v>126</v>
      </c>
      <c r="D119" s="2">
        <v>62</v>
      </c>
      <c r="E119" s="4">
        <v>1</v>
      </c>
      <c r="F119" s="7">
        <v>-95.256887000000006</v>
      </c>
      <c r="G119" s="7">
        <v>41.863880000000002</v>
      </c>
      <c r="H119" s="2" t="s">
        <v>23</v>
      </c>
      <c r="I119" s="2">
        <v>2</v>
      </c>
      <c r="J119" s="2" t="s">
        <v>39</v>
      </c>
      <c r="K119" s="3">
        <f t="shared" si="15"/>
        <v>102.96287278352</v>
      </c>
      <c r="L119" s="3">
        <v>94.614666666666665</v>
      </c>
      <c r="M119" s="3">
        <v>210.73</v>
      </c>
      <c r="N119" s="3">
        <f t="shared" si="18"/>
        <v>116.11533333333333</v>
      </c>
      <c r="O119" s="3">
        <f t="shared" si="19"/>
        <v>1.1277398366444811</v>
      </c>
      <c r="P119" s="3">
        <f t="shared" si="20"/>
        <v>0.57443779749264867</v>
      </c>
      <c r="Q119" s="15">
        <v>9.1434352080617991</v>
      </c>
      <c r="R119" s="15">
        <v>76.682940684395845</v>
      </c>
      <c r="S119" s="15">
        <v>14.173624107542359</v>
      </c>
      <c r="T119" s="15">
        <f t="shared" si="13"/>
        <v>90.856564791938212</v>
      </c>
      <c r="U119" s="3">
        <v>520.5</v>
      </c>
      <c r="V119" s="3">
        <v>12.5</v>
      </c>
      <c r="W119" s="12">
        <v>19.39</v>
      </c>
      <c r="X119" s="13">
        <v>40.119999999999997</v>
      </c>
      <c r="Y119" s="13">
        <v>420.7</v>
      </c>
      <c r="Z119" s="13">
        <v>4884</v>
      </c>
    </row>
    <row r="120" spans="1:26" x14ac:dyDescent="0.55000000000000004">
      <c r="A120" s="2">
        <v>119</v>
      </c>
      <c r="C120" s="2" t="s">
        <v>128</v>
      </c>
      <c r="D120" s="2">
        <v>63</v>
      </c>
      <c r="E120" s="4">
        <v>1</v>
      </c>
      <c r="F120" s="7">
        <v>-95.128123000000002</v>
      </c>
      <c r="G120" s="7">
        <v>41.317863000000003</v>
      </c>
      <c r="H120" s="2" t="s">
        <v>22</v>
      </c>
      <c r="I120" s="2">
        <v>5</v>
      </c>
      <c r="J120" s="2" t="s">
        <v>39</v>
      </c>
      <c r="K120" s="3">
        <f t="shared" si="15"/>
        <v>102.96287278352</v>
      </c>
      <c r="L120" s="3">
        <v>94.614666666666665</v>
      </c>
      <c r="M120" s="3">
        <v>197.62</v>
      </c>
      <c r="N120" s="3">
        <f t="shared" si="18"/>
        <v>103.00533333333334</v>
      </c>
      <c r="O120" s="3">
        <f t="shared" si="19"/>
        <v>1.0004123869960642</v>
      </c>
      <c r="P120" s="3">
        <f t="shared" si="20"/>
        <v>0.62248589169959834</v>
      </c>
      <c r="Q120" s="15">
        <v>27.095998659979703</v>
      </c>
      <c r="R120" s="15">
        <v>66.269737218078447</v>
      </c>
      <c r="S120" s="15">
        <v>6.6342641219418468</v>
      </c>
      <c r="T120" s="15">
        <f t="shared" si="13"/>
        <v>72.904001340020301</v>
      </c>
      <c r="U120" s="3">
        <v>482</v>
      </c>
      <c r="V120" s="3">
        <v>4.0000000000000284</v>
      </c>
      <c r="W120" s="12">
        <v>46.44</v>
      </c>
      <c r="X120" s="13">
        <v>360.1</v>
      </c>
      <c r="Y120" s="13">
        <v>357.8</v>
      </c>
      <c r="Z120" s="13">
        <v>2895</v>
      </c>
    </row>
    <row r="121" spans="1:26" x14ac:dyDescent="0.55000000000000004">
      <c r="A121" s="2">
        <v>120</v>
      </c>
      <c r="C121" s="2" t="s">
        <v>128</v>
      </c>
      <c r="D121" s="2">
        <v>63</v>
      </c>
      <c r="E121" s="4">
        <v>2</v>
      </c>
      <c r="F121" s="7">
        <v>-95.128123000000002</v>
      </c>
      <c r="G121" s="7">
        <v>41.317863000000003</v>
      </c>
      <c r="H121" s="2" t="s">
        <v>24</v>
      </c>
      <c r="I121" s="2">
        <v>5</v>
      </c>
      <c r="J121" s="2" t="s">
        <v>39</v>
      </c>
      <c r="K121" s="3">
        <f t="shared" si="15"/>
        <v>102.96287278352</v>
      </c>
      <c r="L121" s="3">
        <v>94.614666666666665</v>
      </c>
      <c r="M121" s="3">
        <v>224.81</v>
      </c>
      <c r="N121" s="3">
        <f t="shared" si="18"/>
        <v>130.19533333333334</v>
      </c>
      <c r="O121" s="3">
        <f t="shared" si="19"/>
        <v>1.2644881578534599</v>
      </c>
      <c r="P121" s="3">
        <f t="shared" si="20"/>
        <v>0.52283465741378876</v>
      </c>
      <c r="Q121" s="15">
        <v>16.066552985126105</v>
      </c>
      <c r="R121" s="15">
        <v>77.470571594728597</v>
      </c>
      <c r="S121" s="15">
        <v>6.4628754201452896</v>
      </c>
      <c r="T121" s="15">
        <f t="shared" si="13"/>
        <v>83.933447014873892</v>
      </c>
      <c r="U121" s="3">
        <v>642.5</v>
      </c>
      <c r="V121" s="3">
        <v>14.5</v>
      </c>
      <c r="W121" s="12">
        <v>32.32</v>
      </c>
      <c r="X121" s="13">
        <v>165.6</v>
      </c>
      <c r="Y121" s="13">
        <v>346.2</v>
      </c>
      <c r="Z121" s="13">
        <v>4702</v>
      </c>
    </row>
    <row r="122" spans="1:26" x14ac:dyDescent="0.55000000000000004">
      <c r="A122" s="2">
        <v>121</v>
      </c>
      <c r="C122" s="2" t="s">
        <v>129</v>
      </c>
      <c r="D122" s="2">
        <v>64</v>
      </c>
      <c r="E122" s="4">
        <v>1</v>
      </c>
      <c r="F122" s="7">
        <v>-95.604269000000002</v>
      </c>
      <c r="G122" s="7">
        <v>41.440649999999998</v>
      </c>
      <c r="H122" s="2" t="s">
        <v>23</v>
      </c>
      <c r="I122" s="2">
        <v>3</v>
      </c>
      <c r="J122" s="2" t="s">
        <v>39</v>
      </c>
      <c r="K122" s="3">
        <f t="shared" si="15"/>
        <v>102.96287278352</v>
      </c>
      <c r="L122" s="3">
        <v>94.614666666666665</v>
      </c>
      <c r="M122" s="3">
        <v>209.97</v>
      </c>
      <c r="N122" s="3">
        <f t="shared" si="18"/>
        <v>115.35533333333333</v>
      </c>
      <c r="O122" s="3">
        <f t="shared" si="19"/>
        <v>1.1203585352155874</v>
      </c>
      <c r="P122" s="3">
        <f t="shared" si="20"/>
        <v>0.57722319425826885</v>
      </c>
      <c r="Q122" s="15">
        <v>8.1700954818387803</v>
      </c>
      <c r="R122" s="15">
        <v>85.034491583817271</v>
      </c>
      <c r="S122" s="15">
        <v>6.7954129343439309</v>
      </c>
      <c r="T122" s="15">
        <f t="shared" si="13"/>
        <v>91.8299045181612</v>
      </c>
      <c r="U122" s="3">
        <v>541.5</v>
      </c>
      <c r="V122" s="3">
        <v>11.5</v>
      </c>
      <c r="W122" s="12">
        <v>29.72</v>
      </c>
      <c r="X122" s="13">
        <v>511.9</v>
      </c>
      <c r="Y122" s="13">
        <v>418.7</v>
      </c>
      <c r="Z122" s="13">
        <v>3396</v>
      </c>
    </row>
    <row r="123" spans="1:26" x14ac:dyDescent="0.55000000000000004">
      <c r="A123" s="2">
        <v>122</v>
      </c>
      <c r="C123" s="2" t="s">
        <v>130</v>
      </c>
      <c r="D123" s="2">
        <v>65</v>
      </c>
      <c r="E123" s="4">
        <v>1</v>
      </c>
      <c r="F123" s="7">
        <v>-95.945925000000003</v>
      </c>
      <c r="G123" s="7">
        <v>41.737971999999999</v>
      </c>
      <c r="H123" s="2" t="s">
        <v>23</v>
      </c>
      <c r="I123" s="2">
        <v>4</v>
      </c>
      <c r="J123" s="2" t="s">
        <v>39</v>
      </c>
      <c r="K123" s="3">
        <f t="shared" si="15"/>
        <v>102.96287278352</v>
      </c>
      <c r="L123" s="3">
        <v>94.614666666666665</v>
      </c>
      <c r="M123" s="3">
        <v>202.28</v>
      </c>
      <c r="N123" s="3">
        <f t="shared" si="18"/>
        <v>107.66533333333334</v>
      </c>
      <c r="O123" s="3">
        <f t="shared" si="19"/>
        <v>1.0456714194416494</v>
      </c>
      <c r="P123" s="3">
        <f t="shared" si="20"/>
        <v>0.60540701153145304</v>
      </c>
      <c r="Q123" s="15">
        <v>4.2212732538163227</v>
      </c>
      <c r="R123" s="15">
        <v>86.009296618072952</v>
      </c>
      <c r="S123" s="15">
        <v>9.7694301281107343</v>
      </c>
      <c r="T123" s="15">
        <f t="shared" si="13"/>
        <v>95.778726746183679</v>
      </c>
      <c r="U123" s="3">
        <v>652</v>
      </c>
      <c r="V123" s="3">
        <v>24</v>
      </c>
      <c r="W123" s="12">
        <v>27.65</v>
      </c>
      <c r="X123" s="13">
        <v>36.75</v>
      </c>
      <c r="Y123" s="13">
        <v>356.4</v>
      </c>
      <c r="Z123" s="13">
        <v>4314</v>
      </c>
    </row>
    <row r="124" spans="1:26" x14ac:dyDescent="0.55000000000000004">
      <c r="A124" s="2">
        <v>123</v>
      </c>
      <c r="C124" s="2" t="s">
        <v>128</v>
      </c>
      <c r="D124" s="2">
        <v>66</v>
      </c>
      <c r="E124" s="4">
        <v>1</v>
      </c>
      <c r="F124" s="7">
        <v>-95.128123000000002</v>
      </c>
      <c r="G124" s="7">
        <v>41.317863000000003</v>
      </c>
      <c r="H124" s="2" t="s">
        <v>22</v>
      </c>
      <c r="I124" s="2">
        <v>5</v>
      </c>
      <c r="J124" s="2" t="s">
        <v>39</v>
      </c>
      <c r="K124" s="3">
        <f t="shared" si="15"/>
        <v>102.96287278352</v>
      </c>
      <c r="L124" s="3">
        <v>94.614666666666665</v>
      </c>
      <c r="M124" s="3">
        <v>231.61</v>
      </c>
      <c r="N124" s="3">
        <f t="shared" si="18"/>
        <v>136.99533333333335</v>
      </c>
      <c r="O124" s="3">
        <f t="shared" si="19"/>
        <v>1.3305313811646144</v>
      </c>
      <c r="P124" s="3">
        <f t="shared" si="20"/>
        <v>0.4979126863529757</v>
      </c>
      <c r="Q124" s="15">
        <v>39.368927781404992</v>
      </c>
      <c r="R124" s="15">
        <v>30.497429325953284</v>
      </c>
      <c r="S124" s="15">
        <v>30.133642892641721</v>
      </c>
      <c r="T124" s="15">
        <f t="shared" si="13"/>
        <v>60.631072218595008</v>
      </c>
      <c r="U124" s="3">
        <v>349.5</v>
      </c>
      <c r="V124" s="3">
        <v>11.5</v>
      </c>
      <c r="W124" s="12">
        <v>23.41</v>
      </c>
      <c r="X124" s="13">
        <v>325.5</v>
      </c>
      <c r="Y124" s="13">
        <v>408.4</v>
      </c>
      <c r="Z124" s="13">
        <v>2969</v>
      </c>
    </row>
    <row r="125" spans="1:26" x14ac:dyDescent="0.55000000000000004">
      <c r="A125" s="2">
        <v>124</v>
      </c>
      <c r="C125" s="2" t="s">
        <v>128</v>
      </c>
      <c r="D125" s="2">
        <v>66</v>
      </c>
      <c r="E125" s="4">
        <v>2</v>
      </c>
      <c r="F125" s="7">
        <v>-95.128123000000002</v>
      </c>
      <c r="G125" s="7">
        <v>41.317863000000003</v>
      </c>
      <c r="H125" s="2" t="s">
        <v>24</v>
      </c>
      <c r="I125" s="2">
        <v>5</v>
      </c>
      <c r="J125" s="2" t="s">
        <v>39</v>
      </c>
      <c r="K125" s="3">
        <f t="shared" si="15"/>
        <v>102.96287278352</v>
      </c>
      <c r="L125" s="3">
        <v>94.614666666666665</v>
      </c>
      <c r="M125" s="3">
        <v>218.65</v>
      </c>
      <c r="N125" s="3">
        <f t="shared" si="18"/>
        <v>124.03533333333334</v>
      </c>
      <c r="O125" s="3">
        <f t="shared" si="19"/>
        <v>1.2046607673245318</v>
      </c>
      <c r="P125" s="3">
        <f t="shared" si="20"/>
        <v>0.54541103119828982</v>
      </c>
      <c r="Q125" s="15">
        <v>32.293210573327173</v>
      </c>
      <c r="R125" s="15">
        <v>57.686184591525247</v>
      </c>
      <c r="S125" s="15">
        <v>10.020604835147578</v>
      </c>
      <c r="T125" s="15">
        <f t="shared" si="13"/>
        <v>67.706789426672827</v>
      </c>
      <c r="U125" s="3">
        <v>507</v>
      </c>
      <c r="V125" s="3">
        <v>2</v>
      </c>
      <c r="W125" s="12">
        <v>51.84</v>
      </c>
      <c r="X125" s="13">
        <v>260.60000000000002</v>
      </c>
      <c r="Y125" s="13">
        <v>464.3</v>
      </c>
      <c r="Z125" s="13">
        <v>3585</v>
      </c>
    </row>
    <row r="126" spans="1:26" x14ac:dyDescent="0.55000000000000004">
      <c r="A126" s="2">
        <v>125</v>
      </c>
      <c r="C126" s="2" t="s">
        <v>127</v>
      </c>
      <c r="D126" s="2">
        <v>67</v>
      </c>
      <c r="E126" s="4">
        <v>1</v>
      </c>
      <c r="F126" s="7">
        <v>-95.909858</v>
      </c>
      <c r="G126" s="7">
        <v>42.291566000000003</v>
      </c>
      <c r="H126" s="2" t="s">
        <v>22</v>
      </c>
      <c r="I126" s="2">
        <v>2</v>
      </c>
      <c r="J126" s="2" t="s">
        <v>39</v>
      </c>
      <c r="K126" s="3">
        <f t="shared" si="15"/>
        <v>102.96287278352</v>
      </c>
      <c r="L126" s="3">
        <v>94.614666666666665</v>
      </c>
      <c r="M126" s="3">
        <v>189.52</v>
      </c>
      <c r="N126" s="3">
        <f t="shared" si="18"/>
        <v>94.905333333333346</v>
      </c>
      <c r="O126" s="3">
        <f t="shared" si="19"/>
        <v>0.9217432533460127</v>
      </c>
      <c r="P126" s="3">
        <f t="shared" si="20"/>
        <v>0.65217235722791966</v>
      </c>
      <c r="Q126" s="15">
        <v>6.8938349418948484</v>
      </c>
      <c r="R126" s="15">
        <v>86.96115816427023</v>
      </c>
      <c r="S126" s="15">
        <v>6.1450068938349398</v>
      </c>
      <c r="T126" s="15">
        <f t="shared" si="13"/>
        <v>93.106165058105177</v>
      </c>
      <c r="U126" s="3">
        <v>477.5</v>
      </c>
      <c r="V126" s="3">
        <v>20.500000000000028</v>
      </c>
      <c r="W126" s="12">
        <v>43.99</v>
      </c>
      <c r="X126" s="13">
        <v>388</v>
      </c>
      <c r="Y126" s="13">
        <v>149.6</v>
      </c>
      <c r="Z126" s="13">
        <v>3589</v>
      </c>
    </row>
    <row r="127" spans="1:26" x14ac:dyDescent="0.55000000000000004">
      <c r="A127" s="2">
        <v>126</v>
      </c>
      <c r="C127" s="2" t="s">
        <v>127</v>
      </c>
      <c r="D127" s="2">
        <v>67</v>
      </c>
      <c r="E127" s="4">
        <v>2</v>
      </c>
      <c r="F127" s="7">
        <v>-95.909858</v>
      </c>
      <c r="G127" s="7">
        <v>42.291566000000003</v>
      </c>
      <c r="H127" s="2" t="s">
        <v>23</v>
      </c>
      <c r="I127" s="2">
        <v>2</v>
      </c>
      <c r="J127" s="2" t="s">
        <v>39</v>
      </c>
      <c r="K127" s="3">
        <f t="shared" si="15"/>
        <v>102.96287278352</v>
      </c>
      <c r="L127" s="3">
        <v>94.614666666666665</v>
      </c>
      <c r="M127" s="3">
        <v>199.8</v>
      </c>
      <c r="N127" s="3">
        <f t="shared" si="18"/>
        <v>105.18533333333335</v>
      </c>
      <c r="O127" s="3">
        <f t="shared" si="19"/>
        <v>1.0215850674105227</v>
      </c>
      <c r="P127" s="3">
        <f t="shared" si="20"/>
        <v>0.61449620097716129</v>
      </c>
      <c r="Q127" s="15">
        <v>6.8234409920689636</v>
      </c>
      <c r="R127" s="15">
        <v>88.238201380510688</v>
      </c>
      <c r="S127" s="15">
        <v>4.938357627420344</v>
      </c>
      <c r="T127" s="15">
        <f t="shared" si="13"/>
        <v>93.176559007931033</v>
      </c>
      <c r="U127" s="3">
        <v>540.5</v>
      </c>
      <c r="V127" s="3">
        <v>8.5</v>
      </c>
      <c r="W127" s="12">
        <v>71.650000000000006</v>
      </c>
      <c r="X127" s="13">
        <v>355.8</v>
      </c>
      <c r="Y127" s="13">
        <v>328.1</v>
      </c>
      <c r="Z127" s="13">
        <v>4194</v>
      </c>
    </row>
    <row r="128" spans="1:26" x14ac:dyDescent="0.55000000000000004">
      <c r="A128" s="2">
        <v>127</v>
      </c>
      <c r="C128" s="2" t="s">
        <v>125</v>
      </c>
      <c r="D128" s="2">
        <v>68</v>
      </c>
      <c r="E128" s="4">
        <v>1</v>
      </c>
      <c r="F128" s="7">
        <v>-95.936800000000005</v>
      </c>
      <c r="G128" s="7">
        <v>41.863464999999998</v>
      </c>
      <c r="H128" s="2" t="s">
        <v>22</v>
      </c>
      <c r="I128" s="2">
        <v>1</v>
      </c>
      <c r="J128" s="2" t="s">
        <v>39</v>
      </c>
      <c r="K128" s="3">
        <f t="shared" si="15"/>
        <v>102.96287278352</v>
      </c>
      <c r="L128" s="3">
        <v>94.614666666666665</v>
      </c>
      <c r="M128" s="3">
        <v>193.43</v>
      </c>
      <c r="N128" s="3">
        <f t="shared" si="18"/>
        <v>98.815333333333342</v>
      </c>
      <c r="O128" s="3">
        <f t="shared" si="19"/>
        <v>0.95971810674992641</v>
      </c>
      <c r="P128" s="3">
        <f t="shared" si="20"/>
        <v>0.63784222386795231</v>
      </c>
      <c r="Q128" s="15">
        <v>4.9471153370469683</v>
      </c>
      <c r="R128" s="15">
        <v>91.155716391771961</v>
      </c>
      <c r="S128" s="15">
        <v>3.8971682711810742</v>
      </c>
      <c r="T128" s="15">
        <f t="shared" si="13"/>
        <v>95.052884662953034</v>
      </c>
      <c r="U128" s="3">
        <v>545.5</v>
      </c>
      <c r="V128" s="3">
        <v>2.5</v>
      </c>
      <c r="W128" s="12">
        <v>39.65</v>
      </c>
      <c r="X128" s="13">
        <v>350.9</v>
      </c>
      <c r="Y128" s="13">
        <v>166.2</v>
      </c>
      <c r="Z128" s="13">
        <v>3430</v>
      </c>
    </row>
    <row r="129" spans="1:26" x14ac:dyDescent="0.55000000000000004">
      <c r="A129" s="2">
        <v>128</v>
      </c>
      <c r="C129" s="2" t="s">
        <v>125</v>
      </c>
      <c r="D129" s="2">
        <v>68</v>
      </c>
      <c r="E129" s="4">
        <v>2</v>
      </c>
      <c r="F129" s="7">
        <v>-95.936800000000005</v>
      </c>
      <c r="G129" s="7">
        <v>41.863464999999998</v>
      </c>
      <c r="H129" s="2" t="s">
        <v>23</v>
      </c>
      <c r="I129" s="2">
        <v>1</v>
      </c>
      <c r="J129" s="2" t="s">
        <v>39</v>
      </c>
      <c r="K129" s="3">
        <f t="shared" si="15"/>
        <v>102.96287278352</v>
      </c>
      <c r="L129" s="3">
        <v>94.614666666666665</v>
      </c>
      <c r="M129" s="3">
        <v>207.35</v>
      </c>
      <c r="N129" s="3">
        <f t="shared" si="18"/>
        <v>112.73533333333333</v>
      </c>
      <c r="O129" s="3">
        <f t="shared" si="19"/>
        <v>1.0949124697633483</v>
      </c>
      <c r="P129" s="3">
        <f t="shared" si="20"/>
        <v>0.58682548310817051</v>
      </c>
      <c r="Q129" s="15">
        <v>7.0529356637005725</v>
      </c>
      <c r="R129" s="15">
        <v>85.697193318068059</v>
      </c>
      <c r="S129" s="15">
        <v>7.2498710182313557</v>
      </c>
      <c r="T129" s="15">
        <f t="shared" si="13"/>
        <v>92.94706433629942</v>
      </c>
      <c r="U129" s="3">
        <v>446</v>
      </c>
      <c r="V129" s="3">
        <v>25</v>
      </c>
      <c r="W129" s="12">
        <v>52.11</v>
      </c>
      <c r="X129" s="13">
        <v>369.4</v>
      </c>
      <c r="Y129" s="13">
        <v>403.1</v>
      </c>
      <c r="Z129" s="13">
        <v>3428</v>
      </c>
    </row>
    <row r="130" spans="1:26" x14ac:dyDescent="0.55000000000000004">
      <c r="A130" s="2">
        <v>129</v>
      </c>
      <c r="C130" s="2" t="s">
        <v>118</v>
      </c>
      <c r="D130" s="2">
        <v>69</v>
      </c>
      <c r="E130" s="4">
        <v>1</v>
      </c>
      <c r="F130" s="7">
        <v>-95.904621000000006</v>
      </c>
      <c r="G130" s="7">
        <v>42.254935000000003</v>
      </c>
      <c r="H130" s="2" t="s">
        <v>22</v>
      </c>
      <c r="I130" s="2">
        <v>6</v>
      </c>
      <c r="J130" s="2" t="s">
        <v>39</v>
      </c>
      <c r="K130" s="3">
        <f t="shared" si="15"/>
        <v>102.96287278352</v>
      </c>
      <c r="L130" s="3">
        <v>94.614666666666665</v>
      </c>
      <c r="M130" s="3">
        <v>216.83</v>
      </c>
      <c r="N130" s="3">
        <f t="shared" si="18"/>
        <v>122.21533333333335</v>
      </c>
      <c r="O130" s="3">
        <f t="shared" si="19"/>
        <v>1.1869844928500757</v>
      </c>
      <c r="P130" s="3">
        <f t="shared" si="20"/>
        <v>0.5520813234528017</v>
      </c>
      <c r="Q130" s="15">
        <v>44.583835946924012</v>
      </c>
      <c r="R130" s="15">
        <v>45.718335343787686</v>
      </c>
      <c r="S130" s="15">
        <v>9.6978287092882969</v>
      </c>
      <c r="T130" s="15">
        <f t="shared" si="13"/>
        <v>55.416164053075981</v>
      </c>
      <c r="U130" s="3">
        <v>893</v>
      </c>
      <c r="V130" s="3">
        <v>16</v>
      </c>
      <c r="W130" s="12">
        <v>90.31</v>
      </c>
      <c r="X130" s="13">
        <v>22.6</v>
      </c>
      <c r="Y130" s="13">
        <v>194.3</v>
      </c>
      <c r="Z130" s="13">
        <v>5005</v>
      </c>
    </row>
    <row r="131" spans="1:26" x14ac:dyDescent="0.55000000000000004">
      <c r="A131" s="2">
        <v>130</v>
      </c>
      <c r="C131" s="2" t="s">
        <v>118</v>
      </c>
      <c r="D131" s="2">
        <v>69</v>
      </c>
      <c r="E131" s="4">
        <v>2</v>
      </c>
      <c r="F131" s="7">
        <v>-95.904621000000006</v>
      </c>
      <c r="G131" s="7">
        <v>42.254935000000003</v>
      </c>
      <c r="H131" s="2" t="s">
        <v>23</v>
      </c>
      <c r="I131" s="2">
        <v>6</v>
      </c>
      <c r="J131" s="2" t="s">
        <v>39</v>
      </c>
      <c r="K131" s="3">
        <f t="shared" si="15"/>
        <v>102.96287278352</v>
      </c>
      <c r="L131" s="3">
        <v>94.614666666666665</v>
      </c>
      <c r="M131" s="3">
        <v>211.32</v>
      </c>
      <c r="N131" s="3">
        <f t="shared" si="18"/>
        <v>116.70533333333333</v>
      </c>
      <c r="O131" s="3">
        <f t="shared" si="19"/>
        <v>1.133470057490596</v>
      </c>
      <c r="P131" s="3">
        <f t="shared" si="20"/>
        <v>0.57227545000354862</v>
      </c>
      <c r="Q131" s="15">
        <v>17.765320121198968</v>
      </c>
      <c r="R131" s="15">
        <v>72.530987653102514</v>
      </c>
      <c r="S131" s="15">
        <v>9.7036922256985214</v>
      </c>
      <c r="T131" s="15">
        <f t="shared" ref="T131:T170" si="21">R131+S131</f>
        <v>82.234679878801032</v>
      </c>
      <c r="U131" s="3">
        <v>556.5</v>
      </c>
      <c r="V131" s="3">
        <v>22.5</v>
      </c>
      <c r="W131" s="12">
        <v>30.27</v>
      </c>
      <c r="X131" s="13">
        <v>206</v>
      </c>
      <c r="Y131" s="13">
        <v>318.89999999999998</v>
      </c>
      <c r="Z131" s="13">
        <v>4526</v>
      </c>
    </row>
    <row r="132" spans="1:26" x14ac:dyDescent="0.55000000000000004">
      <c r="A132" s="2">
        <v>131</v>
      </c>
      <c r="C132" s="2" t="s">
        <v>121</v>
      </c>
      <c r="D132" s="2">
        <v>70</v>
      </c>
      <c r="E132" s="4">
        <v>1</v>
      </c>
      <c r="F132" s="7">
        <v>-95.295993999999993</v>
      </c>
      <c r="G132" s="7">
        <v>41.217818000000001</v>
      </c>
      <c r="H132" s="2" t="s">
        <v>22</v>
      </c>
      <c r="I132" s="2">
        <v>3</v>
      </c>
      <c r="J132" s="2" t="s">
        <v>39</v>
      </c>
      <c r="K132" s="3">
        <f t="shared" si="15"/>
        <v>102.96287278352</v>
      </c>
      <c r="L132" s="3">
        <v>94.614666666666665</v>
      </c>
      <c r="M132" s="3">
        <v>200.8</v>
      </c>
      <c r="N132" s="3">
        <f t="shared" si="18"/>
        <v>106.18533333333335</v>
      </c>
      <c r="O132" s="3">
        <f t="shared" si="19"/>
        <v>1.0312973061327513</v>
      </c>
      <c r="P132" s="3">
        <f t="shared" si="20"/>
        <v>0.61083120523292411</v>
      </c>
      <c r="Q132" s="15">
        <v>8.3305234345558041</v>
      </c>
      <c r="R132" s="15">
        <v>85.619291112124898</v>
      </c>
      <c r="S132" s="15">
        <v>6.0501854533193171</v>
      </c>
      <c r="T132" s="15">
        <f t="shared" si="21"/>
        <v>91.669476565444214</v>
      </c>
      <c r="U132" s="3">
        <v>616.5</v>
      </c>
      <c r="V132" s="3">
        <v>16.5</v>
      </c>
      <c r="W132" s="12">
        <v>51.36</v>
      </c>
      <c r="X132" s="13">
        <v>382.9</v>
      </c>
      <c r="Y132" s="13">
        <v>173.2</v>
      </c>
      <c r="Z132" s="13">
        <v>3379</v>
      </c>
    </row>
    <row r="133" spans="1:26" x14ac:dyDescent="0.55000000000000004">
      <c r="A133" s="2">
        <v>132</v>
      </c>
      <c r="C133" s="2" t="s">
        <v>121</v>
      </c>
      <c r="D133" s="2">
        <v>70</v>
      </c>
      <c r="E133" s="4">
        <v>2</v>
      </c>
      <c r="F133" s="7">
        <v>-95.295993999999993</v>
      </c>
      <c r="G133" s="7">
        <v>41.217818000000001</v>
      </c>
      <c r="H133" s="2" t="s">
        <v>24</v>
      </c>
      <c r="I133" s="2">
        <v>3</v>
      </c>
      <c r="J133" s="2" t="s">
        <v>39</v>
      </c>
      <c r="K133" s="3">
        <f t="shared" si="15"/>
        <v>102.96287278352</v>
      </c>
      <c r="L133" s="3">
        <v>94.614666666666665</v>
      </c>
      <c r="M133" s="3">
        <v>214.17</v>
      </c>
      <c r="N133" s="3">
        <f t="shared" si="18"/>
        <v>119.55533333333332</v>
      </c>
      <c r="O133" s="3">
        <f t="shared" si="19"/>
        <v>1.1611499378489474</v>
      </c>
      <c r="P133" s="3">
        <f t="shared" si="20"/>
        <v>0.56183021213247275</v>
      </c>
      <c r="Q133" s="15">
        <v>13.016596160104136</v>
      </c>
      <c r="R133" s="15">
        <v>80.807582167263263</v>
      </c>
      <c r="S133" s="15">
        <v>6.1758216726326065</v>
      </c>
      <c r="T133" s="15">
        <f t="shared" si="21"/>
        <v>86.983403839895871</v>
      </c>
      <c r="U133" s="3">
        <v>722</v>
      </c>
      <c r="V133" s="3">
        <v>16</v>
      </c>
      <c r="W133" s="12">
        <v>88.62</v>
      </c>
      <c r="X133" s="13">
        <v>324.2</v>
      </c>
      <c r="Y133" s="13">
        <v>430.2</v>
      </c>
      <c r="Z133" s="13">
        <v>3623</v>
      </c>
    </row>
    <row r="134" spans="1:26" x14ac:dyDescent="0.55000000000000004">
      <c r="A134" s="2">
        <v>133</v>
      </c>
      <c r="C134" s="2" t="s">
        <v>119</v>
      </c>
      <c r="D134" s="2">
        <v>71</v>
      </c>
      <c r="E134" s="4">
        <v>1</v>
      </c>
      <c r="F134" s="7">
        <v>-95.944846999999996</v>
      </c>
      <c r="G134" s="7">
        <v>43.025865000000003</v>
      </c>
      <c r="H134" s="2" t="s">
        <v>23</v>
      </c>
      <c r="I134" s="2">
        <v>1</v>
      </c>
      <c r="J134" s="2" t="s">
        <v>40</v>
      </c>
      <c r="K134" s="3">
        <f t="shared" si="15"/>
        <v>102.96287278352</v>
      </c>
      <c r="L134" s="3">
        <v>94.614666666666665</v>
      </c>
      <c r="M134" s="3">
        <v>199.74</v>
      </c>
      <c r="N134" s="3">
        <f t="shared" si="18"/>
        <v>105.12533333333334</v>
      </c>
      <c r="O134" s="3">
        <f t="shared" si="19"/>
        <v>1.0210023330871889</v>
      </c>
      <c r="P134" s="3">
        <f t="shared" si="20"/>
        <v>0.61471610072181548</v>
      </c>
      <c r="Q134" s="15">
        <v>22.581273116605026</v>
      </c>
      <c r="R134" s="15">
        <v>69.289760560638499</v>
      </c>
      <c r="S134" s="15">
        <v>8.1289663227564724</v>
      </c>
      <c r="T134" s="15">
        <f t="shared" si="21"/>
        <v>77.418726883394967</v>
      </c>
      <c r="U134" s="3">
        <v>694.5</v>
      </c>
      <c r="V134" s="3">
        <v>5.5</v>
      </c>
      <c r="W134" s="12">
        <v>79.31</v>
      </c>
      <c r="X134" s="13">
        <v>56.5</v>
      </c>
      <c r="Y134" s="13">
        <v>295.60000000000002</v>
      </c>
      <c r="Z134" s="13">
        <v>5604</v>
      </c>
    </row>
    <row r="135" spans="1:26" x14ac:dyDescent="0.55000000000000004">
      <c r="A135" s="2">
        <v>134</v>
      </c>
      <c r="C135" s="2" t="s">
        <v>131</v>
      </c>
      <c r="D135" s="2">
        <v>72</v>
      </c>
      <c r="E135" s="4">
        <v>1</v>
      </c>
      <c r="F135" s="7">
        <v>-95.055268999999996</v>
      </c>
      <c r="G135" s="7">
        <v>43.083629000000002</v>
      </c>
      <c r="H135" s="2" t="s">
        <v>22</v>
      </c>
      <c r="I135" s="2">
        <v>1</v>
      </c>
      <c r="J135" s="2" t="s">
        <v>40</v>
      </c>
      <c r="K135" s="3">
        <f t="shared" si="15"/>
        <v>102.96287278352</v>
      </c>
      <c r="L135" s="3">
        <v>94.614666666666665</v>
      </c>
      <c r="M135" s="3">
        <v>209.11</v>
      </c>
      <c r="N135" s="3">
        <f t="shared" si="18"/>
        <v>114.49533333333335</v>
      </c>
      <c r="O135" s="3">
        <f t="shared" si="19"/>
        <v>1.1120060099144708</v>
      </c>
      <c r="P135" s="3">
        <f t="shared" si="20"/>
        <v>0.58037509059831294</v>
      </c>
      <c r="Q135" s="15">
        <v>40.491400491400498</v>
      </c>
      <c r="R135" s="15">
        <v>50.522800982800987</v>
      </c>
      <c r="S135" s="15">
        <v>8.9857985257985238</v>
      </c>
      <c r="T135" s="15">
        <f t="shared" si="21"/>
        <v>59.508599508599509</v>
      </c>
      <c r="U135" s="3">
        <v>528</v>
      </c>
      <c r="V135" s="3">
        <v>12</v>
      </c>
      <c r="W135" s="12">
        <v>26.49</v>
      </c>
      <c r="X135" s="13">
        <v>78.260000000000005</v>
      </c>
      <c r="Y135" s="13">
        <v>129.19999999999999</v>
      </c>
      <c r="Z135" s="13">
        <v>5474</v>
      </c>
    </row>
    <row r="136" spans="1:26" x14ac:dyDescent="0.55000000000000004">
      <c r="A136" s="2">
        <v>135</v>
      </c>
      <c r="C136" s="2" t="s">
        <v>132</v>
      </c>
      <c r="D136" s="2">
        <v>73</v>
      </c>
      <c r="E136" s="4">
        <v>1</v>
      </c>
      <c r="F136" s="7">
        <v>-96.000253999999998</v>
      </c>
      <c r="G136" s="7">
        <v>43.253202000000002</v>
      </c>
      <c r="H136" s="2" t="s">
        <v>22</v>
      </c>
      <c r="I136" s="2">
        <v>2</v>
      </c>
      <c r="J136" s="2" t="s">
        <v>40</v>
      </c>
      <c r="K136" s="3">
        <f t="shared" si="15"/>
        <v>102.96287278352</v>
      </c>
      <c r="L136" s="3">
        <v>94.614666666666665</v>
      </c>
      <c r="M136" s="3">
        <v>214.5</v>
      </c>
      <c r="N136" s="3">
        <f t="shared" si="18"/>
        <v>119.88533333333334</v>
      </c>
      <c r="O136" s="3">
        <f t="shared" si="19"/>
        <v>1.1643549766272829</v>
      </c>
      <c r="P136" s="3">
        <f t="shared" si="20"/>
        <v>0.56062076353687429</v>
      </c>
      <c r="Q136" s="15">
        <v>61.200577144683201</v>
      </c>
      <c r="R136" s="15">
        <v>28.672773490079116</v>
      </c>
      <c r="S136" s="15">
        <v>10.126649365237684</v>
      </c>
      <c r="T136" s="15">
        <f t="shared" si="21"/>
        <v>38.799422855316799</v>
      </c>
      <c r="U136" s="3">
        <v>301</v>
      </c>
      <c r="V136" s="3">
        <v>14</v>
      </c>
      <c r="W136" s="12">
        <v>8.76</v>
      </c>
      <c r="X136" s="13">
        <v>45.78</v>
      </c>
      <c r="Y136" s="13">
        <v>75.930000000000007</v>
      </c>
      <c r="Z136" s="13">
        <v>2651</v>
      </c>
    </row>
    <row r="137" spans="1:26" x14ac:dyDescent="0.55000000000000004">
      <c r="A137" s="2">
        <v>136</v>
      </c>
      <c r="C137" s="2" t="s">
        <v>132</v>
      </c>
      <c r="D137" s="2">
        <v>73</v>
      </c>
      <c r="E137" s="4">
        <v>2</v>
      </c>
      <c r="F137" s="7">
        <v>-96.000253999999998</v>
      </c>
      <c r="G137" s="7">
        <v>43.253202000000002</v>
      </c>
      <c r="H137" s="2" t="s">
        <v>42</v>
      </c>
      <c r="I137" s="2">
        <v>2</v>
      </c>
      <c r="J137" s="2" t="s">
        <v>40</v>
      </c>
      <c r="K137" s="3">
        <f t="shared" si="15"/>
        <v>102.96287278352</v>
      </c>
      <c r="L137" s="3">
        <v>94.614666666666665</v>
      </c>
      <c r="M137" s="3">
        <v>210.33</v>
      </c>
      <c r="N137" s="3">
        <f t="shared" si="18"/>
        <v>115.71533333333335</v>
      </c>
      <c r="O137" s="3">
        <f t="shared" si="19"/>
        <v>1.1238549411555898</v>
      </c>
      <c r="P137" s="3">
        <f t="shared" si="20"/>
        <v>0.57590379579034345</v>
      </c>
      <c r="Q137" s="15">
        <v>34.956863814290443</v>
      </c>
      <c r="R137" s="15">
        <v>54.701277532181734</v>
      </c>
      <c r="S137" s="15">
        <v>10.341858653527821</v>
      </c>
      <c r="T137" s="15">
        <f t="shared" si="21"/>
        <v>65.043136185709557</v>
      </c>
      <c r="U137" s="3">
        <v>476.5</v>
      </c>
      <c r="V137" s="3">
        <v>15.499999999999972</v>
      </c>
      <c r="W137" s="12">
        <v>21.1</v>
      </c>
      <c r="X137" s="13">
        <v>297</v>
      </c>
      <c r="Y137" s="13">
        <v>119.7</v>
      </c>
      <c r="Z137" s="13">
        <v>4392</v>
      </c>
    </row>
    <row r="138" spans="1:26" x14ac:dyDescent="0.55000000000000004">
      <c r="A138" s="2">
        <v>137</v>
      </c>
      <c r="C138" s="2" t="s">
        <v>133</v>
      </c>
      <c r="D138" s="2">
        <v>74</v>
      </c>
      <c r="E138" s="4">
        <v>1</v>
      </c>
      <c r="F138" s="7">
        <v>-95.320284000000001</v>
      </c>
      <c r="G138" s="7">
        <v>42.886023000000002</v>
      </c>
      <c r="H138" s="2" t="s">
        <v>22</v>
      </c>
      <c r="I138" s="2">
        <v>3</v>
      </c>
      <c r="J138" s="2" t="s">
        <v>40</v>
      </c>
      <c r="K138" s="3">
        <f t="shared" si="15"/>
        <v>102.96287278352</v>
      </c>
      <c r="L138" s="3">
        <v>94.614666666666665</v>
      </c>
      <c r="M138" s="3">
        <v>220.79</v>
      </c>
      <c r="N138" s="3">
        <f t="shared" si="18"/>
        <v>126.17533333333333</v>
      </c>
      <c r="O138" s="3">
        <f t="shared" si="19"/>
        <v>1.2254449581901008</v>
      </c>
      <c r="P138" s="3">
        <f t="shared" si="20"/>
        <v>0.53756794030562238</v>
      </c>
      <c r="Q138" s="15">
        <v>51.722634948616339</v>
      </c>
      <c r="R138" s="15">
        <v>39.635716707185985</v>
      </c>
      <c r="S138" s="15">
        <v>8.6416483441976748</v>
      </c>
      <c r="T138" s="15">
        <f t="shared" si="21"/>
        <v>48.277365051383661</v>
      </c>
      <c r="U138" s="3">
        <v>399</v>
      </c>
      <c r="V138" s="3">
        <v>12.000000000000028</v>
      </c>
      <c r="W138" s="12">
        <v>11.4</v>
      </c>
      <c r="X138" s="13">
        <v>259.2</v>
      </c>
      <c r="Y138" s="13">
        <v>74.069999999999993</v>
      </c>
      <c r="Z138" s="13">
        <v>3490</v>
      </c>
    </row>
    <row r="139" spans="1:26" x14ac:dyDescent="0.55000000000000004">
      <c r="A139" s="2">
        <v>138</v>
      </c>
      <c r="C139" s="2" t="s">
        <v>133</v>
      </c>
      <c r="D139" s="2">
        <v>74</v>
      </c>
      <c r="E139" s="4">
        <v>2</v>
      </c>
      <c r="F139" s="7">
        <v>-95.320284000000001</v>
      </c>
      <c r="G139" s="7">
        <v>42.886023000000002</v>
      </c>
      <c r="H139" s="2" t="s">
        <v>42</v>
      </c>
      <c r="I139" s="2">
        <v>3</v>
      </c>
      <c r="J139" s="2" t="s">
        <v>40</v>
      </c>
      <c r="K139" s="3">
        <f t="shared" si="15"/>
        <v>102.96287278352</v>
      </c>
      <c r="L139" s="3">
        <v>94.614666666666665</v>
      </c>
      <c r="M139" s="3">
        <v>207.75</v>
      </c>
      <c r="N139" s="3">
        <f t="shared" si="18"/>
        <v>113.13533333333334</v>
      </c>
      <c r="O139" s="3">
        <f t="shared" si="19"/>
        <v>1.0987973652522398</v>
      </c>
      <c r="P139" s="3">
        <f t="shared" si="20"/>
        <v>0.58535948481047551</v>
      </c>
      <c r="Q139" s="15">
        <v>51.877106279291418</v>
      </c>
      <c r="R139" s="15">
        <v>40.760090981440172</v>
      </c>
      <c r="S139" s="15">
        <v>7.362802739268413</v>
      </c>
      <c r="T139" s="15">
        <f t="shared" si="21"/>
        <v>48.122893720708582</v>
      </c>
      <c r="U139" s="3">
        <v>502.5</v>
      </c>
      <c r="V139" s="3">
        <v>20.5</v>
      </c>
      <c r="W139" s="12">
        <v>10.93</v>
      </c>
      <c r="X139" s="13">
        <v>164.5</v>
      </c>
      <c r="Y139" s="13">
        <v>58.6</v>
      </c>
      <c r="Z139" s="13">
        <v>4147</v>
      </c>
    </row>
    <row r="140" spans="1:26" x14ac:dyDescent="0.55000000000000004">
      <c r="A140" s="2">
        <v>139</v>
      </c>
      <c r="C140" s="2" t="s">
        <v>133</v>
      </c>
      <c r="D140" s="2">
        <v>74</v>
      </c>
      <c r="E140" s="4">
        <v>3</v>
      </c>
      <c r="F140" s="7">
        <v>-95.320284000000001</v>
      </c>
      <c r="G140" s="7">
        <v>42.886023000000002</v>
      </c>
      <c r="H140" s="2" t="s">
        <v>23</v>
      </c>
      <c r="I140" s="2">
        <v>3</v>
      </c>
      <c r="J140" s="2" t="s">
        <v>40</v>
      </c>
      <c r="K140" s="3">
        <f t="shared" si="15"/>
        <v>102.96287278352</v>
      </c>
      <c r="L140" s="3">
        <v>94.614666666666665</v>
      </c>
      <c r="M140" s="3">
        <v>215.64</v>
      </c>
      <c r="N140" s="3">
        <f t="shared" si="18"/>
        <v>121.02533333333332</v>
      </c>
      <c r="O140" s="3">
        <f t="shared" si="19"/>
        <v>1.1754269287706234</v>
      </c>
      <c r="P140" s="3">
        <f t="shared" si="20"/>
        <v>0.55644266838844403</v>
      </c>
      <c r="Q140" s="15">
        <v>46.913483717111696</v>
      </c>
      <c r="R140" s="15">
        <v>41.832174830915982</v>
      </c>
      <c r="S140" s="15">
        <v>11.254341451972318</v>
      </c>
      <c r="T140" s="15">
        <f t="shared" si="21"/>
        <v>53.086516282888297</v>
      </c>
      <c r="U140" s="3">
        <v>515.5</v>
      </c>
      <c r="V140" s="3">
        <v>19.5</v>
      </c>
      <c r="W140" s="12">
        <v>27.47</v>
      </c>
      <c r="X140" s="13">
        <v>12.9</v>
      </c>
      <c r="Y140" s="13">
        <v>67.37</v>
      </c>
      <c r="Z140" s="13">
        <v>6774</v>
      </c>
    </row>
    <row r="141" spans="1:26" x14ac:dyDescent="0.55000000000000004">
      <c r="A141" s="2">
        <v>140</v>
      </c>
      <c r="C141" s="2" t="s">
        <v>134</v>
      </c>
      <c r="D141" s="2">
        <v>75</v>
      </c>
      <c r="E141" s="4">
        <v>1</v>
      </c>
      <c r="F141" s="7">
        <v>-95.213106999999994</v>
      </c>
      <c r="G141" s="7">
        <v>43.127189000000001</v>
      </c>
      <c r="H141" s="2" t="s">
        <v>22</v>
      </c>
      <c r="I141" s="2">
        <v>4</v>
      </c>
      <c r="J141" s="2" t="s">
        <v>40</v>
      </c>
      <c r="K141" s="3">
        <f t="shared" si="15"/>
        <v>102.96287278352</v>
      </c>
      <c r="L141" s="3">
        <v>94.614666666666665</v>
      </c>
      <c r="M141" s="3">
        <v>227.34</v>
      </c>
      <c r="N141" s="3">
        <f t="shared" si="18"/>
        <v>132.72533333333334</v>
      </c>
      <c r="O141" s="3">
        <f t="shared" si="19"/>
        <v>1.2890601218206983</v>
      </c>
      <c r="P141" s="3">
        <f t="shared" si="20"/>
        <v>0.51356221818086856</v>
      </c>
      <c r="Q141" s="15">
        <v>35.770718419496511</v>
      </c>
      <c r="R141" s="15">
        <v>54.016825809203439</v>
      </c>
      <c r="S141" s="15">
        <v>10.212455771300053</v>
      </c>
      <c r="T141" s="15">
        <f t="shared" si="21"/>
        <v>64.229281580503496</v>
      </c>
      <c r="U141" s="3">
        <v>641.5</v>
      </c>
      <c r="V141" s="3">
        <v>36.5</v>
      </c>
      <c r="W141" s="12">
        <v>36.9</v>
      </c>
      <c r="X141" s="13">
        <v>47.12</v>
      </c>
      <c r="Y141" s="13">
        <v>227.9</v>
      </c>
      <c r="Z141" s="13">
        <v>5167</v>
      </c>
    </row>
    <row r="142" spans="1:26" x14ac:dyDescent="0.55000000000000004">
      <c r="A142" s="2">
        <v>141</v>
      </c>
      <c r="C142" s="2" t="s">
        <v>135</v>
      </c>
      <c r="D142" s="2">
        <v>76</v>
      </c>
      <c r="E142" s="4">
        <v>1</v>
      </c>
      <c r="F142" s="7">
        <v>-95.424657999999994</v>
      </c>
      <c r="G142" s="7">
        <v>42.967841</v>
      </c>
      <c r="H142" s="2" t="s">
        <v>22</v>
      </c>
      <c r="I142" s="2">
        <v>4</v>
      </c>
      <c r="J142" s="2" t="s">
        <v>40</v>
      </c>
      <c r="K142" s="3">
        <f t="shared" si="15"/>
        <v>102.96287278352</v>
      </c>
      <c r="L142" s="3">
        <v>94.614666666666665</v>
      </c>
      <c r="M142" s="3">
        <v>228.2</v>
      </c>
      <c r="N142" s="3">
        <f t="shared" si="18"/>
        <v>133.58533333333332</v>
      </c>
      <c r="O142" s="3">
        <f t="shared" si="19"/>
        <v>1.2974126471218146</v>
      </c>
      <c r="P142" s="3">
        <f t="shared" si="20"/>
        <v>0.51041032184082469</v>
      </c>
      <c r="Q142" s="15">
        <v>58.169392431065816</v>
      </c>
      <c r="R142" s="15">
        <v>30.787327170735558</v>
      </c>
      <c r="S142" s="15">
        <v>11.043280398198622</v>
      </c>
      <c r="T142" s="15">
        <f t="shared" si="21"/>
        <v>41.830607568934184</v>
      </c>
      <c r="U142" s="3">
        <v>513.5</v>
      </c>
      <c r="V142" s="3">
        <v>39.5</v>
      </c>
      <c r="W142" s="12">
        <v>7.65</v>
      </c>
      <c r="X142" s="13">
        <v>12.32</v>
      </c>
      <c r="Y142" s="13">
        <v>56.81</v>
      </c>
      <c r="Z142" s="13">
        <v>4357</v>
      </c>
    </row>
    <row r="143" spans="1:26" x14ac:dyDescent="0.55000000000000004">
      <c r="A143" s="2">
        <v>142</v>
      </c>
      <c r="C143" s="2" t="s">
        <v>135</v>
      </c>
      <c r="D143" s="2">
        <v>76</v>
      </c>
      <c r="E143" s="4">
        <v>2</v>
      </c>
      <c r="F143" s="7">
        <v>-95.424657999999994</v>
      </c>
      <c r="G143" s="7">
        <v>42.967841</v>
      </c>
      <c r="H143" s="2" t="s">
        <v>23</v>
      </c>
      <c r="I143" s="2">
        <v>4</v>
      </c>
      <c r="J143" s="2" t="s">
        <v>40</v>
      </c>
      <c r="K143" s="3">
        <f t="shared" si="15"/>
        <v>102.96287278352</v>
      </c>
      <c r="L143" s="3">
        <v>94.614666666666665</v>
      </c>
      <c r="M143" s="3">
        <v>227.18</v>
      </c>
      <c r="N143" s="3">
        <f t="shared" si="18"/>
        <v>132.56533333333334</v>
      </c>
      <c r="O143" s="3">
        <f t="shared" si="19"/>
        <v>1.2875061636251417</v>
      </c>
      <c r="P143" s="3">
        <f t="shared" si="20"/>
        <v>0.51414861749994656</v>
      </c>
      <c r="Q143" s="15">
        <v>41.944408889063943</v>
      </c>
      <c r="R143" s="15">
        <v>46.212250524305098</v>
      </c>
      <c r="S143" s="15">
        <v>11.843340586630955</v>
      </c>
      <c r="T143" s="15">
        <f t="shared" si="21"/>
        <v>58.055591110936049</v>
      </c>
      <c r="U143" s="3">
        <v>622</v>
      </c>
      <c r="V143" s="3">
        <v>3</v>
      </c>
      <c r="W143" s="12">
        <v>43.22</v>
      </c>
      <c r="X143" s="13">
        <v>93.97</v>
      </c>
      <c r="Y143" s="13">
        <v>83.46</v>
      </c>
      <c r="Z143" s="13">
        <v>4396</v>
      </c>
    </row>
    <row r="144" spans="1:26" x14ac:dyDescent="0.55000000000000004">
      <c r="A144" s="2">
        <v>143</v>
      </c>
      <c r="C144" s="2" t="s">
        <v>122</v>
      </c>
      <c r="D144" s="2">
        <v>77</v>
      </c>
      <c r="E144" s="4">
        <v>1</v>
      </c>
      <c r="F144" s="7">
        <v>-95.591262</v>
      </c>
      <c r="G144" s="7">
        <v>42.653179000000002</v>
      </c>
      <c r="H144" s="2" t="s">
        <v>22</v>
      </c>
      <c r="I144" s="2">
        <v>6</v>
      </c>
      <c r="J144" s="2" t="s">
        <v>40</v>
      </c>
      <c r="K144" s="3">
        <f t="shared" si="15"/>
        <v>102.96287278352</v>
      </c>
      <c r="L144" s="3">
        <v>94.614666666666665</v>
      </c>
      <c r="M144" s="3">
        <v>216.21</v>
      </c>
      <c r="N144" s="3">
        <f t="shared" si="18"/>
        <v>121.59533333333334</v>
      </c>
      <c r="O144" s="3">
        <f t="shared" si="19"/>
        <v>1.1809629048422938</v>
      </c>
      <c r="P144" s="3">
        <f t="shared" si="20"/>
        <v>0.55435362081422879</v>
      </c>
      <c r="Q144" s="15">
        <v>27.819136431314156</v>
      </c>
      <c r="R144" s="15">
        <v>60.77628712483348</v>
      </c>
      <c r="S144" s="15">
        <v>11.404576443852363</v>
      </c>
      <c r="T144" s="15">
        <f t="shared" si="21"/>
        <v>72.180863568685851</v>
      </c>
      <c r="U144" s="3">
        <v>568</v>
      </c>
      <c r="V144" s="3">
        <v>8</v>
      </c>
      <c r="W144" s="12">
        <v>50.35</v>
      </c>
      <c r="X144" s="13">
        <v>273.2</v>
      </c>
      <c r="Y144" s="13">
        <v>415.8</v>
      </c>
      <c r="Z144" s="13">
        <v>4362</v>
      </c>
    </row>
    <row r="145" spans="1:26" x14ac:dyDescent="0.55000000000000004">
      <c r="A145" s="2">
        <v>144</v>
      </c>
      <c r="C145" s="2" t="s">
        <v>122</v>
      </c>
      <c r="D145" s="2">
        <v>77</v>
      </c>
      <c r="E145" s="4">
        <v>2</v>
      </c>
      <c r="F145" s="7">
        <v>-95.591262</v>
      </c>
      <c r="G145" s="7">
        <v>42.653179000000002</v>
      </c>
      <c r="H145" s="2" t="s">
        <v>23</v>
      </c>
      <c r="I145" s="2">
        <v>6</v>
      </c>
      <c r="J145" s="2" t="s">
        <v>40</v>
      </c>
      <c r="K145" s="3">
        <f t="shared" si="15"/>
        <v>102.96287278352</v>
      </c>
      <c r="L145" s="3">
        <v>94.614666666666665</v>
      </c>
      <c r="M145" s="3">
        <v>209.47</v>
      </c>
      <c r="N145" s="3">
        <f t="shared" si="18"/>
        <v>114.85533333333333</v>
      </c>
      <c r="O145" s="3">
        <f t="shared" si="19"/>
        <v>1.1155024158544731</v>
      </c>
      <c r="P145" s="3">
        <f t="shared" si="20"/>
        <v>0.57905569213038754</v>
      </c>
      <c r="Q145" s="15">
        <v>46.852521482172719</v>
      </c>
      <c r="R145" s="15">
        <v>44.006112212760982</v>
      </c>
      <c r="S145" s="15">
        <v>9.1413663050662919</v>
      </c>
      <c r="T145" s="15">
        <f t="shared" si="21"/>
        <v>53.147478517827274</v>
      </c>
      <c r="U145" s="3">
        <v>649</v>
      </c>
      <c r="V145" s="3">
        <v>8</v>
      </c>
      <c r="W145" s="12">
        <v>52.27</v>
      </c>
      <c r="X145" s="13">
        <v>25.43</v>
      </c>
      <c r="Y145" s="13">
        <v>319.39999999999998</v>
      </c>
      <c r="Z145" s="13">
        <v>4855</v>
      </c>
    </row>
    <row r="146" spans="1:26" x14ac:dyDescent="0.55000000000000004">
      <c r="A146" s="2">
        <v>145</v>
      </c>
      <c r="C146" s="2" t="s">
        <v>123</v>
      </c>
      <c r="D146" s="2">
        <v>78</v>
      </c>
      <c r="E146" s="4">
        <v>1</v>
      </c>
      <c r="F146" s="7">
        <v>-96.332215000000005</v>
      </c>
      <c r="G146" s="7">
        <v>43.199939999999998</v>
      </c>
      <c r="H146" s="2" t="s">
        <v>22</v>
      </c>
      <c r="I146" s="2">
        <v>5</v>
      </c>
      <c r="J146" s="2" t="s">
        <v>40</v>
      </c>
      <c r="K146" s="3">
        <f t="shared" si="15"/>
        <v>102.96287278352</v>
      </c>
      <c r="L146" s="3">
        <v>94.614666666666665</v>
      </c>
      <c r="M146" s="3">
        <v>212.9</v>
      </c>
      <c r="N146" s="3">
        <f t="shared" si="18"/>
        <v>118.28533333333334</v>
      </c>
      <c r="O146" s="3">
        <f t="shared" si="19"/>
        <v>1.1488153946717172</v>
      </c>
      <c r="P146" s="3">
        <f t="shared" si="20"/>
        <v>0.56648475672765386</v>
      </c>
      <c r="Q146" s="15">
        <v>35.283229861566348</v>
      </c>
      <c r="R146" s="15">
        <v>52.161716731577535</v>
      </c>
      <c r="S146" s="15">
        <v>12.555053406856127</v>
      </c>
      <c r="T146" s="15">
        <f t="shared" si="21"/>
        <v>64.71677013843366</v>
      </c>
      <c r="U146" s="3">
        <v>757.5</v>
      </c>
      <c r="V146" s="3">
        <v>55.500000000000057</v>
      </c>
      <c r="W146" s="12">
        <v>62.19</v>
      </c>
      <c r="X146" s="13">
        <v>38.479999999999997</v>
      </c>
      <c r="Y146" s="13">
        <v>231.8</v>
      </c>
      <c r="Z146" s="13">
        <v>4696</v>
      </c>
    </row>
    <row r="147" spans="1:26" x14ac:dyDescent="0.55000000000000004">
      <c r="A147" s="2">
        <v>146</v>
      </c>
      <c r="C147" s="2" t="s">
        <v>123</v>
      </c>
      <c r="D147" s="2">
        <v>78</v>
      </c>
      <c r="E147" s="4">
        <v>2</v>
      </c>
      <c r="F147" s="7">
        <v>-96.332215000000005</v>
      </c>
      <c r="G147" s="7">
        <v>43.199939999999998</v>
      </c>
      <c r="H147" s="2" t="s">
        <v>24</v>
      </c>
      <c r="I147" s="2">
        <v>5</v>
      </c>
      <c r="J147" s="2" t="s">
        <v>40</v>
      </c>
      <c r="K147" s="3">
        <f t="shared" si="15"/>
        <v>102.96287278352</v>
      </c>
      <c r="L147" s="3">
        <v>94.614666666666665</v>
      </c>
      <c r="M147" s="3">
        <v>202.11</v>
      </c>
      <c r="N147" s="3">
        <f t="shared" si="18"/>
        <v>107.49533333333335</v>
      </c>
      <c r="O147" s="3">
        <f t="shared" si="19"/>
        <v>1.0440203388588707</v>
      </c>
      <c r="P147" s="3">
        <f t="shared" si="20"/>
        <v>0.60603006080797339</v>
      </c>
      <c r="Q147" s="15">
        <v>25.897552041278519</v>
      </c>
      <c r="R147" s="15">
        <v>65.506563995509794</v>
      </c>
      <c r="S147" s="15">
        <v>8.5958839632116906</v>
      </c>
      <c r="T147" s="15">
        <f t="shared" si="21"/>
        <v>74.102447958721484</v>
      </c>
      <c r="U147" s="3">
        <v>458.5</v>
      </c>
      <c r="V147" s="3">
        <v>13.5</v>
      </c>
      <c r="W147" s="12">
        <v>33.92</v>
      </c>
      <c r="X147" s="13">
        <v>123.3</v>
      </c>
      <c r="Y147" s="13">
        <v>387.4</v>
      </c>
      <c r="Z147" s="13">
        <v>4997</v>
      </c>
    </row>
    <row r="148" spans="1:26" x14ac:dyDescent="0.55000000000000004">
      <c r="A148" s="2">
        <v>147</v>
      </c>
      <c r="C148" s="2" t="s">
        <v>111</v>
      </c>
      <c r="D148" s="2">
        <v>79</v>
      </c>
      <c r="E148" s="4">
        <v>1</v>
      </c>
      <c r="F148" s="7">
        <v>-95.448607999999993</v>
      </c>
      <c r="G148" s="7">
        <v>42.573776000000002</v>
      </c>
      <c r="H148" s="2" t="s">
        <v>22</v>
      </c>
      <c r="I148" s="2">
        <v>5</v>
      </c>
      <c r="J148" s="2" t="s">
        <v>40</v>
      </c>
      <c r="K148" s="3">
        <f t="shared" si="15"/>
        <v>102.96287278352</v>
      </c>
      <c r="L148" s="3">
        <v>94.614666666666665</v>
      </c>
      <c r="M148" s="3">
        <v>204.09</v>
      </c>
      <c r="N148" s="3">
        <f t="shared" si="18"/>
        <v>109.47533333333334</v>
      </c>
      <c r="O148" s="3">
        <f t="shared" si="19"/>
        <v>1.0632505715288834</v>
      </c>
      <c r="P148" s="3">
        <f t="shared" si="20"/>
        <v>0.59877336923438362</v>
      </c>
      <c r="Q148" s="15">
        <v>11.395563589209583</v>
      </c>
      <c r="R148" s="15">
        <v>79.832597206122173</v>
      </c>
      <c r="S148" s="15">
        <v>8.7718392046682503</v>
      </c>
      <c r="T148" s="15">
        <f t="shared" si="21"/>
        <v>88.604436410790427</v>
      </c>
      <c r="U148" s="3">
        <v>542.5</v>
      </c>
      <c r="V148" s="3">
        <v>12.5</v>
      </c>
      <c r="W148" s="12">
        <v>37.770000000000003</v>
      </c>
      <c r="X148" s="13">
        <v>306.60000000000002</v>
      </c>
      <c r="Y148" s="13">
        <v>141.6</v>
      </c>
      <c r="Z148" s="13">
        <v>4989</v>
      </c>
    </row>
    <row r="149" spans="1:26" x14ac:dyDescent="0.55000000000000004">
      <c r="A149" s="2">
        <v>148</v>
      </c>
      <c r="C149" s="2" t="s">
        <v>136</v>
      </c>
      <c r="D149" s="2">
        <v>80</v>
      </c>
      <c r="E149" s="4">
        <v>1</v>
      </c>
      <c r="F149" s="7">
        <v>-95.122767999999994</v>
      </c>
      <c r="G149" s="7">
        <v>42.949368999999997</v>
      </c>
      <c r="H149" s="2" t="s">
        <v>22</v>
      </c>
      <c r="I149" s="2">
        <v>6</v>
      </c>
      <c r="J149" s="2" t="s">
        <v>40</v>
      </c>
      <c r="K149" s="3">
        <f t="shared" si="15"/>
        <v>102.96287278352</v>
      </c>
      <c r="L149" s="3">
        <v>94.614666666666665</v>
      </c>
      <c r="M149" s="3">
        <v>208.12</v>
      </c>
      <c r="N149" s="3">
        <f t="shared" si="18"/>
        <v>113.50533333333334</v>
      </c>
      <c r="O149" s="3">
        <f t="shared" si="19"/>
        <v>1.1023908935794646</v>
      </c>
      <c r="P149" s="3">
        <f t="shared" si="20"/>
        <v>0.58400343638510765</v>
      </c>
      <c r="Q149" s="15">
        <v>43.362176488930423</v>
      </c>
      <c r="R149" s="15">
        <v>48.935079513564119</v>
      </c>
      <c r="S149" s="15">
        <v>7.7027439975054621</v>
      </c>
      <c r="T149" s="15">
        <f t="shared" si="21"/>
        <v>56.637823511069584</v>
      </c>
      <c r="U149" s="3">
        <v>733</v>
      </c>
      <c r="V149" s="3">
        <v>6</v>
      </c>
      <c r="W149" s="12">
        <v>36.71</v>
      </c>
      <c r="X149" s="13">
        <v>190.5</v>
      </c>
      <c r="Y149" s="13">
        <v>233.6</v>
      </c>
      <c r="Z149" s="13">
        <v>4404</v>
      </c>
    </row>
    <row r="150" spans="1:26" x14ac:dyDescent="0.55000000000000004">
      <c r="A150" s="2">
        <v>149</v>
      </c>
      <c r="B150" s="9">
        <v>43297</v>
      </c>
      <c r="C150" s="2" t="s">
        <v>44</v>
      </c>
      <c r="D150" s="2">
        <v>81</v>
      </c>
      <c r="E150" s="4">
        <v>1</v>
      </c>
      <c r="H150" s="2" t="s">
        <v>23</v>
      </c>
      <c r="Q150" s="15">
        <v>4.9090856587319314</v>
      </c>
      <c r="R150" s="15">
        <v>88.529641251720577</v>
      </c>
      <c r="S150" s="15">
        <v>6.5612730895474964</v>
      </c>
      <c r="T150" s="15">
        <f t="shared" si="21"/>
        <v>95.090914341268075</v>
      </c>
      <c r="U150" s="3">
        <v>352.5</v>
      </c>
      <c r="V150" s="3">
        <v>9.5</v>
      </c>
      <c r="W150" s="12">
        <v>41.65</v>
      </c>
      <c r="X150" s="13">
        <v>392.6</v>
      </c>
      <c r="Y150" s="13">
        <v>169</v>
      </c>
      <c r="Z150" s="13">
        <v>2801</v>
      </c>
    </row>
    <row r="151" spans="1:26" x14ac:dyDescent="0.55000000000000004">
      <c r="A151" s="2">
        <v>150</v>
      </c>
      <c r="B151" s="9">
        <v>43297</v>
      </c>
      <c r="C151" s="2" t="s">
        <v>44</v>
      </c>
      <c r="D151" s="2">
        <v>81</v>
      </c>
      <c r="E151" s="4">
        <v>2</v>
      </c>
      <c r="H151" s="2" t="s">
        <v>42</v>
      </c>
      <c r="Q151" s="15">
        <v>16.903966153430055</v>
      </c>
      <c r="R151" s="15">
        <v>75.035718563452662</v>
      </c>
      <c r="S151" s="15">
        <v>8.0603152831172853</v>
      </c>
      <c r="T151" s="15">
        <f t="shared" si="21"/>
        <v>83.096033846569952</v>
      </c>
      <c r="U151" s="3">
        <v>350</v>
      </c>
      <c r="V151" s="3">
        <v>9</v>
      </c>
      <c r="W151" s="12">
        <v>28.37</v>
      </c>
      <c r="X151" s="13">
        <v>329.9</v>
      </c>
      <c r="Y151" s="13">
        <v>125.8</v>
      </c>
      <c r="Z151" s="13">
        <v>3045</v>
      </c>
    </row>
    <row r="152" spans="1:26" x14ac:dyDescent="0.55000000000000004">
      <c r="A152" s="2">
        <v>151</v>
      </c>
      <c r="B152" s="9">
        <v>43298</v>
      </c>
      <c r="C152" s="2" t="s">
        <v>45</v>
      </c>
      <c r="D152" s="2">
        <v>82</v>
      </c>
      <c r="E152" s="4">
        <v>1</v>
      </c>
      <c r="H152" s="2" t="s">
        <v>23</v>
      </c>
      <c r="Q152" s="15">
        <v>79.618145894872754</v>
      </c>
      <c r="R152" s="15">
        <v>9.8240536786713371</v>
      </c>
      <c r="S152" s="15">
        <v>10.557800426455916</v>
      </c>
      <c r="T152" s="15">
        <f t="shared" si="21"/>
        <v>20.381854105127253</v>
      </c>
      <c r="U152" s="3">
        <v>259</v>
      </c>
      <c r="V152" s="3">
        <v>5</v>
      </c>
      <c r="W152" s="12">
        <v>10.25</v>
      </c>
      <c r="X152" s="13">
        <v>258.10000000000002</v>
      </c>
      <c r="Y152" s="13">
        <v>181.9</v>
      </c>
      <c r="Z152" s="13">
        <v>689.9</v>
      </c>
    </row>
    <row r="153" spans="1:26" x14ac:dyDescent="0.55000000000000004">
      <c r="A153" s="2">
        <v>152</v>
      </c>
      <c r="B153" s="9">
        <v>43298</v>
      </c>
      <c r="C153" s="2" t="s">
        <v>45</v>
      </c>
      <c r="D153" s="2">
        <v>82</v>
      </c>
      <c r="E153" s="4">
        <v>2</v>
      </c>
      <c r="H153" s="2" t="s">
        <v>24</v>
      </c>
      <c r="Q153" s="15">
        <v>20.219780219780219</v>
      </c>
      <c r="R153" s="15">
        <v>67.813186813186817</v>
      </c>
      <c r="S153" s="15">
        <v>11.967032967032965</v>
      </c>
      <c r="T153" s="15">
        <f t="shared" si="21"/>
        <v>79.780219780219781</v>
      </c>
      <c r="U153" s="3">
        <v>535.5</v>
      </c>
      <c r="V153" s="3">
        <v>0.5</v>
      </c>
      <c r="W153" s="12">
        <v>10.09</v>
      </c>
      <c r="X153" s="13">
        <v>16.28</v>
      </c>
      <c r="Y153" s="13">
        <v>190.8</v>
      </c>
      <c r="Z153" s="13">
        <v>3864</v>
      </c>
    </row>
    <row r="154" spans="1:26" x14ac:dyDescent="0.55000000000000004">
      <c r="A154" s="2">
        <v>153</v>
      </c>
      <c r="B154" s="9">
        <v>43305</v>
      </c>
      <c r="C154" s="2" t="s">
        <v>46</v>
      </c>
      <c r="D154" s="2">
        <v>83</v>
      </c>
      <c r="E154" s="4">
        <v>1</v>
      </c>
      <c r="H154" s="2" t="s">
        <v>22</v>
      </c>
      <c r="Q154" s="15">
        <v>32.620834231304265</v>
      </c>
      <c r="R154" s="15">
        <v>59.158907544914854</v>
      </c>
      <c r="S154" s="15">
        <v>8.2202582237808794</v>
      </c>
      <c r="T154" s="15">
        <f t="shared" si="21"/>
        <v>67.379165768695728</v>
      </c>
      <c r="U154" s="3">
        <v>619</v>
      </c>
      <c r="V154" s="3">
        <v>1</v>
      </c>
      <c r="W154" s="12">
        <v>43.82</v>
      </c>
      <c r="X154" s="13">
        <v>499.6</v>
      </c>
      <c r="Y154" s="13">
        <v>134.69999999999999</v>
      </c>
      <c r="Z154" s="13">
        <v>2584</v>
      </c>
    </row>
    <row r="155" spans="1:26" x14ac:dyDescent="0.55000000000000004">
      <c r="A155" s="2">
        <v>154</v>
      </c>
      <c r="B155" s="9">
        <v>43305</v>
      </c>
      <c r="C155" s="2" t="s">
        <v>47</v>
      </c>
      <c r="D155" s="2">
        <v>84</v>
      </c>
      <c r="E155" s="4">
        <v>1</v>
      </c>
      <c r="H155" s="2" t="s">
        <v>22</v>
      </c>
      <c r="Q155" s="15">
        <v>51.533335931107025</v>
      </c>
      <c r="R155" s="15">
        <v>38.046331294080979</v>
      </c>
      <c r="S155" s="15">
        <v>10.420332774811989</v>
      </c>
      <c r="T155" s="15">
        <f t="shared" si="21"/>
        <v>48.466664068892968</v>
      </c>
      <c r="U155" s="3">
        <v>276</v>
      </c>
      <c r="V155" s="3">
        <v>12</v>
      </c>
      <c r="W155" s="12">
        <v>16.079999999999998</v>
      </c>
      <c r="X155" s="13">
        <v>329.6</v>
      </c>
      <c r="Y155" s="13">
        <v>219.2</v>
      </c>
      <c r="Z155" s="13">
        <v>2553</v>
      </c>
    </row>
    <row r="156" spans="1:26" x14ac:dyDescent="0.55000000000000004">
      <c r="A156" s="2">
        <v>155</v>
      </c>
      <c r="B156" s="9">
        <v>43312</v>
      </c>
      <c r="C156" s="2" t="s">
        <v>48</v>
      </c>
      <c r="D156" s="2">
        <v>85</v>
      </c>
      <c r="E156" s="4">
        <v>1</v>
      </c>
      <c r="H156" s="2" t="s">
        <v>22</v>
      </c>
      <c r="Q156" s="15">
        <v>16.492953897802217</v>
      </c>
      <c r="R156" s="15">
        <v>72.400608970605475</v>
      </c>
      <c r="S156" s="15">
        <v>11.106437131592308</v>
      </c>
      <c r="T156" s="15">
        <f t="shared" si="21"/>
        <v>83.507046102197791</v>
      </c>
      <c r="U156" s="3">
        <v>489</v>
      </c>
      <c r="V156" s="3">
        <v>18</v>
      </c>
      <c r="W156" s="12">
        <v>37.270000000000003</v>
      </c>
      <c r="X156" s="13">
        <v>400.1</v>
      </c>
      <c r="Y156" s="13">
        <v>116.5</v>
      </c>
      <c r="Z156" s="13">
        <v>2495</v>
      </c>
    </row>
    <row r="157" spans="1:26" x14ac:dyDescent="0.55000000000000004">
      <c r="A157" s="2">
        <v>156</v>
      </c>
      <c r="B157" s="9">
        <v>43314</v>
      </c>
      <c r="C157" s="2" t="s">
        <v>43</v>
      </c>
      <c r="D157" s="2">
        <v>86</v>
      </c>
      <c r="E157" s="4">
        <v>1</v>
      </c>
      <c r="H157" s="2" t="s">
        <v>22</v>
      </c>
      <c r="Q157" s="15">
        <v>67.336742955312928</v>
      </c>
      <c r="R157" s="15">
        <v>26.881860547777464</v>
      </c>
      <c r="S157" s="15">
        <v>5.7813964969096121</v>
      </c>
      <c r="T157" s="15">
        <f t="shared" si="21"/>
        <v>32.663257044687079</v>
      </c>
      <c r="U157" s="3">
        <v>409</v>
      </c>
      <c r="V157" s="3">
        <v>19</v>
      </c>
      <c r="W157" s="12">
        <v>19.920000000000002</v>
      </c>
      <c r="X157" s="13">
        <v>448.7</v>
      </c>
      <c r="Y157" s="13">
        <v>95.13</v>
      </c>
      <c r="Z157" s="13">
        <v>2786</v>
      </c>
    </row>
    <row r="158" spans="1:26" x14ac:dyDescent="0.55000000000000004">
      <c r="A158" s="2">
        <v>157</v>
      </c>
      <c r="B158" s="9">
        <v>43314</v>
      </c>
      <c r="C158" s="2" t="s">
        <v>43</v>
      </c>
      <c r="D158" s="2">
        <v>86</v>
      </c>
      <c r="E158" s="4">
        <v>2</v>
      </c>
      <c r="H158" s="2" t="s">
        <v>23</v>
      </c>
      <c r="Q158" s="15">
        <v>79.336528832411346</v>
      </c>
      <c r="R158" s="15">
        <v>8.6373309480520568</v>
      </c>
      <c r="S158" s="15">
        <v>12.026140219536599</v>
      </c>
      <c r="T158" s="15">
        <f t="shared" si="21"/>
        <v>20.663471167588654</v>
      </c>
      <c r="U158" s="3">
        <v>160.5</v>
      </c>
      <c r="V158" s="3">
        <v>5.5</v>
      </c>
      <c r="W158" s="12">
        <v>6.26</v>
      </c>
      <c r="X158" s="13">
        <v>207</v>
      </c>
      <c r="Y158" s="13">
        <v>120.6</v>
      </c>
      <c r="Z158" s="13">
        <v>1181</v>
      </c>
    </row>
    <row r="159" spans="1:26" x14ac:dyDescent="0.55000000000000004">
      <c r="A159" s="2">
        <v>158</v>
      </c>
      <c r="B159" s="9">
        <v>43319</v>
      </c>
      <c r="C159" s="2" t="s">
        <v>137</v>
      </c>
      <c r="D159" s="2">
        <v>87</v>
      </c>
      <c r="E159" s="4">
        <v>1</v>
      </c>
      <c r="H159" s="2" t="s">
        <v>42</v>
      </c>
      <c r="Q159" s="15">
        <v>18.367105107240189</v>
      </c>
      <c r="R159" s="15">
        <v>68.979796184382039</v>
      </c>
      <c r="S159" s="15">
        <v>12.653098708377772</v>
      </c>
      <c r="T159" s="15">
        <f t="shared" si="21"/>
        <v>81.632894892759808</v>
      </c>
      <c r="U159" s="3">
        <v>590.5</v>
      </c>
      <c r="V159" s="3">
        <v>4.5</v>
      </c>
      <c r="W159" s="12">
        <v>18.52</v>
      </c>
      <c r="X159" s="13">
        <v>418.1</v>
      </c>
      <c r="Y159" s="13">
        <v>117.2</v>
      </c>
      <c r="Z159" s="13">
        <v>3679</v>
      </c>
    </row>
    <row r="160" spans="1:26" x14ac:dyDescent="0.55000000000000004">
      <c r="A160" s="2">
        <v>159</v>
      </c>
      <c r="B160" s="9">
        <v>43319</v>
      </c>
      <c r="C160" s="2" t="s">
        <v>137</v>
      </c>
      <c r="D160" s="2">
        <v>87</v>
      </c>
      <c r="E160" s="4">
        <v>2</v>
      </c>
      <c r="H160" s="2" t="s">
        <v>24</v>
      </c>
      <c r="Q160" s="15">
        <v>24.847660178666505</v>
      </c>
      <c r="R160" s="15">
        <v>61.850375672957469</v>
      </c>
      <c r="S160" s="15">
        <v>13.301964148376028</v>
      </c>
      <c r="T160" s="15">
        <f t="shared" si="21"/>
        <v>75.152339821333499</v>
      </c>
      <c r="U160" s="3">
        <v>612</v>
      </c>
      <c r="V160" s="3">
        <v>26</v>
      </c>
      <c r="W160" s="12">
        <v>18.649999999999999</v>
      </c>
      <c r="X160" s="13">
        <v>63.16</v>
      </c>
      <c r="Y160" s="13">
        <v>106.5</v>
      </c>
      <c r="Z160" s="13">
        <v>4461</v>
      </c>
    </row>
    <row r="161" spans="1:26" x14ac:dyDescent="0.55000000000000004">
      <c r="A161" s="2">
        <v>160</v>
      </c>
      <c r="B161" s="9">
        <v>43319</v>
      </c>
      <c r="C161" s="2" t="s">
        <v>138</v>
      </c>
      <c r="D161" s="2">
        <v>88</v>
      </c>
      <c r="E161" s="4">
        <v>1</v>
      </c>
      <c r="H161" s="2" t="s">
        <v>42</v>
      </c>
      <c r="Q161" s="15">
        <v>10.372022935869611</v>
      </c>
      <c r="R161" s="15">
        <v>77.080060275152135</v>
      </c>
      <c r="S161" s="15">
        <v>12.547916788978256</v>
      </c>
      <c r="T161" s="15">
        <f t="shared" si="21"/>
        <v>89.627977064130391</v>
      </c>
      <c r="U161" s="3">
        <v>806</v>
      </c>
      <c r="V161" s="3">
        <v>45</v>
      </c>
      <c r="W161" s="12">
        <v>10.130000000000001</v>
      </c>
      <c r="X161" s="13">
        <v>61.01</v>
      </c>
      <c r="Y161" s="13">
        <v>105.8</v>
      </c>
      <c r="Z161" s="13">
        <v>4380</v>
      </c>
    </row>
    <row r="162" spans="1:26" x14ac:dyDescent="0.55000000000000004">
      <c r="A162" s="2">
        <v>161</v>
      </c>
      <c r="B162" s="9">
        <v>43319</v>
      </c>
      <c r="C162" s="2" t="s">
        <v>138</v>
      </c>
      <c r="D162" s="2">
        <v>88</v>
      </c>
      <c r="E162" s="4">
        <v>2</v>
      </c>
      <c r="H162" s="2" t="s">
        <v>24</v>
      </c>
      <c r="Q162" s="15">
        <v>1.4795525832987966</v>
      </c>
      <c r="R162" s="15">
        <v>87.97875954311418</v>
      </c>
      <c r="S162" s="15">
        <v>10.541687873587028</v>
      </c>
      <c r="T162" s="15">
        <f t="shared" si="21"/>
        <v>98.520447416701202</v>
      </c>
      <c r="U162" s="3">
        <v>459</v>
      </c>
      <c r="V162" s="3">
        <v>0.99999999999997158</v>
      </c>
      <c r="W162" s="12">
        <v>1.26</v>
      </c>
      <c r="X162" s="13">
        <v>49.29</v>
      </c>
      <c r="Y162" s="13">
        <v>185.4</v>
      </c>
      <c r="Z162" s="13">
        <v>4403</v>
      </c>
    </row>
    <row r="163" spans="1:26" x14ac:dyDescent="0.55000000000000004">
      <c r="A163" s="2">
        <v>162</v>
      </c>
      <c r="B163" s="9">
        <v>43321</v>
      </c>
      <c r="C163" s="2" t="s">
        <v>139</v>
      </c>
      <c r="D163" s="2">
        <v>89</v>
      </c>
      <c r="E163" s="4">
        <v>1</v>
      </c>
      <c r="H163" s="2" t="s">
        <v>23</v>
      </c>
      <c r="Q163" s="15">
        <v>57.186911418840481</v>
      </c>
      <c r="R163" s="15">
        <v>40.073050911965304</v>
      </c>
      <c r="S163" s="15">
        <v>2.7400376691942094</v>
      </c>
      <c r="T163" s="15">
        <f t="shared" si="21"/>
        <v>42.813088581159512</v>
      </c>
      <c r="U163" s="3">
        <v>386.5</v>
      </c>
      <c r="V163" s="3">
        <v>9.5</v>
      </c>
      <c r="W163" s="12">
        <v>41.87</v>
      </c>
      <c r="X163" s="13">
        <v>338</v>
      </c>
      <c r="Y163" s="13">
        <v>136.9</v>
      </c>
      <c r="Z163" s="13">
        <v>3217</v>
      </c>
    </row>
    <row r="164" spans="1:26" x14ac:dyDescent="0.55000000000000004">
      <c r="A164" s="2">
        <v>163</v>
      </c>
      <c r="B164" s="9">
        <v>43325</v>
      </c>
      <c r="C164" s="2" t="s">
        <v>140</v>
      </c>
      <c r="D164" s="2">
        <v>90</v>
      </c>
      <c r="E164" s="4">
        <v>1</v>
      </c>
      <c r="H164" s="2" t="s">
        <v>42</v>
      </c>
      <c r="Q164" s="15">
        <v>11.189350824732324</v>
      </c>
      <c r="R164" s="15">
        <v>84.547738014854829</v>
      </c>
      <c r="S164" s="15">
        <v>4.2629111604128491</v>
      </c>
      <c r="T164" s="15">
        <f t="shared" si="21"/>
        <v>88.810649175267685</v>
      </c>
      <c r="U164" s="3">
        <v>452.5</v>
      </c>
      <c r="V164" s="3">
        <v>17.500000000000028</v>
      </c>
      <c r="W164" s="12">
        <v>53</v>
      </c>
      <c r="X164" s="13">
        <v>456.9</v>
      </c>
      <c r="Y164" s="13">
        <v>380</v>
      </c>
      <c r="Z164" s="13">
        <v>2596</v>
      </c>
    </row>
    <row r="165" spans="1:26" x14ac:dyDescent="0.55000000000000004">
      <c r="A165" s="2">
        <v>164</v>
      </c>
      <c r="B165" s="9">
        <v>43325</v>
      </c>
      <c r="C165" s="2" t="s">
        <v>140</v>
      </c>
      <c r="D165" s="2">
        <v>90</v>
      </c>
      <c r="E165" s="4">
        <v>2</v>
      </c>
      <c r="H165" s="2" t="s">
        <v>24</v>
      </c>
      <c r="Q165" s="15">
        <v>55.623923209451164</v>
      </c>
      <c r="R165" s="15">
        <v>28.045680531626864</v>
      </c>
      <c r="S165" s="15">
        <v>16.330396258921969</v>
      </c>
      <c r="T165" s="15">
        <f t="shared" si="21"/>
        <v>44.376076790548836</v>
      </c>
      <c r="U165" s="3">
        <v>404</v>
      </c>
      <c r="V165" s="3">
        <v>12</v>
      </c>
      <c r="W165" s="12">
        <v>76.680000000000007</v>
      </c>
      <c r="X165" s="13">
        <v>288</v>
      </c>
      <c r="Y165" s="13">
        <v>497.5</v>
      </c>
      <c r="Z165" s="13">
        <v>1526</v>
      </c>
    </row>
    <row r="166" spans="1:26" x14ac:dyDescent="0.55000000000000004">
      <c r="A166" s="2">
        <v>165</v>
      </c>
      <c r="B166" s="9">
        <v>43332</v>
      </c>
      <c r="C166" s="2" t="s">
        <v>141</v>
      </c>
      <c r="D166" s="2">
        <v>91</v>
      </c>
      <c r="E166" s="4">
        <v>1</v>
      </c>
      <c r="H166" s="2" t="s">
        <v>42</v>
      </c>
      <c r="Q166" s="15">
        <v>20.581832574708113</v>
      </c>
      <c r="R166" s="15">
        <v>76.241440728280224</v>
      </c>
      <c r="S166" s="15">
        <v>3.1767266970116754</v>
      </c>
      <c r="T166" s="15">
        <f t="shared" si="21"/>
        <v>79.418167425291898</v>
      </c>
      <c r="U166" s="3">
        <v>760</v>
      </c>
      <c r="V166" s="3">
        <v>46</v>
      </c>
      <c r="W166" s="12">
        <v>101.2</v>
      </c>
      <c r="X166" s="13">
        <v>428.5</v>
      </c>
      <c r="Y166" s="13">
        <v>183.3</v>
      </c>
      <c r="Z166" s="13">
        <v>3375</v>
      </c>
    </row>
    <row r="167" spans="1:26" x14ac:dyDescent="0.55000000000000004">
      <c r="A167" s="2">
        <v>166</v>
      </c>
      <c r="B167" s="9">
        <v>43332</v>
      </c>
      <c r="C167" s="2" t="s">
        <v>141</v>
      </c>
      <c r="D167" s="2">
        <v>91</v>
      </c>
      <c r="E167" s="4">
        <v>2</v>
      </c>
      <c r="H167" s="2" t="s">
        <v>24</v>
      </c>
      <c r="Q167" s="15">
        <v>20.212179530574549</v>
      </c>
      <c r="R167" s="15">
        <v>71.410099320135771</v>
      </c>
      <c r="S167" s="15">
        <v>8.3777211492896733</v>
      </c>
      <c r="T167" s="15">
        <f t="shared" si="21"/>
        <v>79.787820469425441</v>
      </c>
      <c r="U167" s="3">
        <v>576.5</v>
      </c>
      <c r="V167" s="3">
        <v>23.5</v>
      </c>
      <c r="W167" s="12">
        <v>25.49</v>
      </c>
      <c r="X167" s="13">
        <v>597.4</v>
      </c>
      <c r="Y167" s="13">
        <v>121.7</v>
      </c>
      <c r="Z167" s="13">
        <v>2245</v>
      </c>
    </row>
    <row r="168" spans="1:26" x14ac:dyDescent="0.55000000000000004">
      <c r="A168" s="2">
        <v>167</v>
      </c>
      <c r="B168" s="9">
        <v>43334</v>
      </c>
      <c r="C168" s="2" t="s">
        <v>142</v>
      </c>
      <c r="D168" s="2">
        <v>92</v>
      </c>
      <c r="E168" s="4">
        <v>1</v>
      </c>
      <c r="H168" s="2" t="s">
        <v>23</v>
      </c>
      <c r="Q168" s="15">
        <v>14.812198973936397</v>
      </c>
      <c r="R168" s="15">
        <v>76.839396525509372</v>
      </c>
      <c r="S168" s="15">
        <v>8.3484045005542331</v>
      </c>
      <c r="T168" s="15">
        <f t="shared" si="21"/>
        <v>85.18780102606361</v>
      </c>
      <c r="U168" s="3">
        <v>420</v>
      </c>
      <c r="V168" s="3">
        <v>20.000000000000028</v>
      </c>
      <c r="W168" s="12">
        <v>45.59</v>
      </c>
      <c r="X168" s="13">
        <v>409</v>
      </c>
      <c r="Y168" s="13">
        <v>269.7</v>
      </c>
      <c r="Z168" s="13">
        <v>3315</v>
      </c>
    </row>
    <row r="169" spans="1:26" x14ac:dyDescent="0.55000000000000004">
      <c r="A169" s="2">
        <v>168</v>
      </c>
      <c r="B169" s="9">
        <v>43334</v>
      </c>
      <c r="C169" s="2" t="s">
        <v>142</v>
      </c>
      <c r="D169" s="2">
        <v>92</v>
      </c>
      <c r="E169" s="4">
        <v>2</v>
      </c>
      <c r="H169" s="2" t="s">
        <v>42</v>
      </c>
      <c r="Q169" s="15">
        <v>45.831772753257525</v>
      </c>
      <c r="R169" s="15">
        <v>46.042993159731104</v>
      </c>
      <c r="S169" s="15">
        <v>8.1252340870113713</v>
      </c>
      <c r="T169" s="15">
        <f t="shared" si="21"/>
        <v>54.168227246742475</v>
      </c>
      <c r="U169" s="3">
        <v>332.5</v>
      </c>
      <c r="V169" s="3">
        <v>16.5</v>
      </c>
      <c r="W169" s="12">
        <v>37.409999999999997</v>
      </c>
      <c r="X169" s="13">
        <v>232.1</v>
      </c>
      <c r="Y169" s="13">
        <v>237.9</v>
      </c>
      <c r="Z169" s="13">
        <v>3459</v>
      </c>
    </row>
    <row r="170" spans="1:26" x14ac:dyDescent="0.55000000000000004">
      <c r="A170" s="2">
        <v>169</v>
      </c>
      <c r="B170" s="9">
        <v>43334</v>
      </c>
      <c r="C170" s="2" t="s">
        <v>143</v>
      </c>
      <c r="D170" s="2">
        <v>93</v>
      </c>
      <c r="E170" s="4">
        <v>1</v>
      </c>
      <c r="H170" s="2" t="s">
        <v>23</v>
      </c>
      <c r="Q170" s="15">
        <v>37.788909394498646</v>
      </c>
      <c r="R170" s="15">
        <v>43.921029967483946</v>
      </c>
      <c r="S170" s="15">
        <v>18.290060638017394</v>
      </c>
      <c r="T170" s="15">
        <f t="shared" si="21"/>
        <v>62.21109060550134</v>
      </c>
      <c r="U170" s="3">
        <v>573</v>
      </c>
      <c r="V170" s="3">
        <v>21</v>
      </c>
      <c r="W170" s="12">
        <v>10.8</v>
      </c>
      <c r="X170" s="13">
        <v>3.2</v>
      </c>
      <c r="Y170" s="13">
        <v>45.96</v>
      </c>
      <c r="Z170" s="13">
        <v>11810</v>
      </c>
    </row>
    <row r="1048576" spans="15:15" x14ac:dyDescent="0.55000000000000004">
      <c r="O1048576" s="3">
        <f>AVERAGE(O2:O1048575)</f>
        <v>1.1754623090688265</v>
      </c>
    </row>
  </sheetData>
  <autoFilter ref="A1:Z170" xr:uid="{00000000-0001-0000-0000-000000000000}"/>
  <sortState xmlns:xlrd2="http://schemas.microsoft.com/office/spreadsheetml/2017/richdata2" ref="C2:P1048576">
    <sortCondition ref="E2:E1048576"/>
    <sortCondition ref="C2:C1048576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Streeter, Matthew T</dc:creator>
  <cp:lastModifiedBy>Christy Dolph</cp:lastModifiedBy>
  <dcterms:created xsi:type="dcterms:W3CDTF">2015-05-13T15:00:21Z</dcterms:created>
  <dcterms:modified xsi:type="dcterms:W3CDTF">2025-07-22T21:19:47Z</dcterms:modified>
</cp:coreProperties>
</file>